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Kathe\Downloads\"/>
    </mc:Choice>
  </mc:AlternateContent>
  <xr:revisionPtr revIDLastSave="0" documentId="13_ncr:1_{DAEE129A-DE99-4988-AB89-6F2459613AF1}" xr6:coauthVersionLast="47" xr6:coauthVersionMax="47" xr10:uidLastSave="{00000000-0000-0000-0000-000000000000}"/>
  <bookViews>
    <workbookView xWindow="11424" yWindow="0" windowWidth="11712" windowHeight="12336" xr2:uid="{488FFC6D-5D2C-4B2F-9839-092FC05BF624}"/>
  </bookViews>
  <sheets>
    <sheet name="Model Overview" sheetId="9" r:id="rId1"/>
    <sheet name="Assumptions" sheetId="1" r:id="rId2"/>
    <sheet name="Income Statement" sheetId="3" r:id="rId3"/>
    <sheet name="Balance Sheet" sheetId="4" r:id="rId4"/>
    <sheet name="Cash Flow Statement" sheetId="5" r:id="rId5"/>
    <sheet name="Free Cash Flow" sheetId="6" r:id="rId6"/>
    <sheet name="DCF Valuation" sheetId="7" r:id="rId7"/>
    <sheet name="Sensitivity Analysi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1" i="4" l="1"/>
  <c r="E11" i="4" s="1"/>
  <c r="F11" i="4" s="1"/>
  <c r="G11" i="4" s="1"/>
  <c r="C11" i="4"/>
  <c r="G10" i="4"/>
  <c r="B11" i="4"/>
  <c r="C3" i="4"/>
  <c r="B6" i="8"/>
  <c r="C6" i="8"/>
  <c r="D6" i="8"/>
  <c r="E6" i="8"/>
  <c r="F6" i="8"/>
  <c r="B7" i="8"/>
  <c r="C7" i="8"/>
  <c r="D7" i="8"/>
  <c r="E7" i="8"/>
  <c r="F7" i="8"/>
  <c r="B8" i="8"/>
  <c r="C8" i="8"/>
  <c r="D8" i="8"/>
  <c r="E8" i="8"/>
  <c r="F8" i="8"/>
  <c r="B9" i="8"/>
  <c r="C9" i="8"/>
  <c r="D9" i="8"/>
  <c r="E9" i="8"/>
  <c r="F9" i="8"/>
  <c r="C5" i="8"/>
  <c r="D5" i="8"/>
  <c r="E5" i="8"/>
  <c r="F5" i="8"/>
  <c r="B5" i="8"/>
  <c r="C5" i="7"/>
  <c r="D5" i="7"/>
  <c r="E5" i="7"/>
  <c r="F5" i="7"/>
  <c r="B5" i="7"/>
  <c r="C3" i="7"/>
  <c r="D3" i="7"/>
  <c r="E3" i="7"/>
  <c r="B3" i="7"/>
  <c r="C9" i="6"/>
  <c r="D9" i="6"/>
  <c r="E9" i="6"/>
  <c r="B9" i="6"/>
  <c r="C8" i="6"/>
  <c r="D8" i="6"/>
  <c r="E8" i="6"/>
  <c r="F8" i="6"/>
  <c r="B8" i="6"/>
  <c r="C7" i="6"/>
  <c r="D7" i="6"/>
  <c r="E7" i="6"/>
  <c r="F7" i="6"/>
  <c r="B7" i="6"/>
  <c r="E4" i="6"/>
  <c r="E5" i="6" s="1"/>
  <c r="E10" i="6" s="1"/>
  <c r="F4" i="6"/>
  <c r="F5" i="6" s="1"/>
  <c r="B4" i="6"/>
  <c r="B5" i="6" s="1"/>
  <c r="B10" i="6" s="1"/>
  <c r="C3" i="6"/>
  <c r="D3" i="6"/>
  <c r="E3" i="6"/>
  <c r="F3" i="6"/>
  <c r="B3" i="6"/>
  <c r="B9" i="3"/>
  <c r="B7" i="4"/>
  <c r="B13" i="4"/>
  <c r="B3" i="4"/>
  <c r="E6" i="7" l="1"/>
  <c r="D6" i="7"/>
  <c r="C6" i="7"/>
  <c r="B6" i="7"/>
  <c r="D4" i="6"/>
  <c r="D5" i="6" s="1"/>
  <c r="D10" i="6" s="1"/>
  <c r="C4" i="6"/>
  <c r="C5" i="6" s="1"/>
  <c r="C10" i="6" s="1"/>
  <c r="C9" i="3" l="1"/>
  <c r="B4" i="5" s="1"/>
  <c r="D9" i="3"/>
  <c r="C4" i="5" s="1"/>
  <c r="E9" i="3"/>
  <c r="D4" i="5" s="1"/>
  <c r="F9" i="3"/>
  <c r="E4" i="5" s="1"/>
  <c r="G9" i="3"/>
  <c r="F4" i="5" s="1"/>
  <c r="B3" i="3" l="1"/>
  <c r="B7" i="3" l="1"/>
  <c r="B4" i="3"/>
  <c r="B10" i="4" s="1"/>
  <c r="B12" i="4" s="1"/>
  <c r="B14" i="4" s="1"/>
  <c r="B5" i="4"/>
  <c r="B4" i="4"/>
  <c r="C3" i="3"/>
  <c r="B5" i="3" l="1"/>
  <c r="B8" i="3" s="1"/>
  <c r="B10" i="3" s="1"/>
  <c r="C7" i="4"/>
  <c r="B10" i="5"/>
  <c r="B12" i="3"/>
  <c r="B13" i="3" s="1"/>
  <c r="B6" i="4"/>
  <c r="B8" i="4" s="1"/>
  <c r="C5" i="4"/>
  <c r="B6" i="5" s="1"/>
  <c r="C4" i="4"/>
  <c r="D3" i="3"/>
  <c r="C7" i="3"/>
  <c r="C4" i="3"/>
  <c r="C5" i="3" l="1"/>
  <c r="C8" i="3" s="1"/>
  <c r="C10" i="3" s="1"/>
  <c r="C12" i="3" s="1"/>
  <c r="C13" i="3" s="1"/>
  <c r="C10" i="4"/>
  <c r="B7" i="5" s="1"/>
  <c r="D7" i="4"/>
  <c r="C10" i="5"/>
  <c r="C6" i="4"/>
  <c r="C8" i="4" s="1"/>
  <c r="B5" i="5"/>
  <c r="D5" i="4"/>
  <c r="C6" i="5" s="1"/>
  <c r="D4" i="4"/>
  <c r="E3" i="3"/>
  <c r="D7" i="3"/>
  <c r="D4" i="3"/>
  <c r="D5" i="3" l="1"/>
  <c r="D8" i="3" s="1"/>
  <c r="D10" i="3" s="1"/>
  <c r="D12" i="3" s="1"/>
  <c r="D10" i="4"/>
  <c r="C7" i="5" s="1"/>
  <c r="E7" i="4"/>
  <c r="D10" i="5"/>
  <c r="B3" i="5"/>
  <c r="B8" i="5" s="1"/>
  <c r="B11" i="5" s="1"/>
  <c r="C13" i="4"/>
  <c r="C5" i="5"/>
  <c r="E5" i="4"/>
  <c r="D6" i="5" s="1"/>
  <c r="E4" i="4"/>
  <c r="F3" i="3"/>
  <c r="E4" i="3"/>
  <c r="E7" i="3"/>
  <c r="C12" i="4" l="1"/>
  <c r="C14" i="4" s="1"/>
  <c r="D3" i="4"/>
  <c r="D6" i="4" s="1"/>
  <c r="D8" i="4" s="1"/>
  <c r="F7" i="4"/>
  <c r="E10" i="5"/>
  <c r="E5" i="3"/>
  <c r="E8" i="3" s="1"/>
  <c r="E10" i="3" s="1"/>
  <c r="E12" i="3" s="1"/>
  <c r="E13" i="3" s="1"/>
  <c r="D3" i="5" s="1"/>
  <c r="E10" i="4"/>
  <c r="D7" i="5" s="1"/>
  <c r="D5" i="5"/>
  <c r="D13" i="3"/>
  <c r="C3" i="5" s="1"/>
  <c r="C8" i="5" s="1"/>
  <c r="C11" i="5" s="1"/>
  <c r="F5" i="4"/>
  <c r="E6" i="5" s="1"/>
  <c r="F4" i="4"/>
  <c r="G3" i="3"/>
  <c r="F4" i="3"/>
  <c r="F7" i="3"/>
  <c r="D8" i="5" l="1"/>
  <c r="D11" i="5" s="1"/>
  <c r="F5" i="3"/>
  <c r="F10" i="4"/>
  <c r="E7" i="5" s="1"/>
  <c r="G7" i="4"/>
  <c r="F10" i="5"/>
  <c r="D13" i="4"/>
  <c r="E5" i="5"/>
  <c r="F8" i="3"/>
  <c r="F10" i="3" s="1"/>
  <c r="F12" i="3" s="1"/>
  <c r="F13" i="3" s="1"/>
  <c r="E3" i="5" s="1"/>
  <c r="G5" i="4"/>
  <c r="F6" i="5" s="1"/>
  <c r="G4" i="4"/>
  <c r="G4" i="3"/>
  <c r="G7" i="3"/>
  <c r="G5" i="3" l="1"/>
  <c r="G8" i="3" s="1"/>
  <c r="G10" i="3" s="1"/>
  <c r="F7" i="5"/>
  <c r="F9" i="6" s="1"/>
  <c r="F10" i="6" s="1"/>
  <c r="F3" i="7" s="1"/>
  <c r="E8" i="5"/>
  <c r="E11" i="5" s="1"/>
  <c r="E13" i="4"/>
  <c r="F5" i="5"/>
  <c r="F6" i="7" l="1"/>
  <c r="F8" i="7"/>
  <c r="F9" i="7" s="1"/>
  <c r="D12" i="4"/>
  <c r="D14" i="4" s="1"/>
  <c r="E3" i="4"/>
  <c r="F13" i="4"/>
  <c r="G12" i="3"/>
  <c r="G13" i="3" s="1"/>
  <c r="F3" i="5" s="1"/>
  <c r="F8" i="5" s="1"/>
  <c r="F11" i="5" s="1"/>
  <c r="B11" i="7" l="1"/>
  <c r="E6" i="4"/>
  <c r="E8" i="4" s="1"/>
  <c r="G13" i="4"/>
  <c r="E12" i="4" l="1"/>
  <c r="E14" i="4" s="1"/>
  <c r="F3" i="4"/>
  <c r="F6" i="4" s="1"/>
  <c r="F8" i="4" s="1"/>
  <c r="A4" i="8"/>
  <c r="I8" i="1"/>
  <c r="F12" i="4" l="1"/>
  <c r="F14" i="4" s="1"/>
  <c r="G3" i="4"/>
  <c r="G6" i="4" s="1"/>
  <c r="G8" i="4" s="1"/>
  <c r="G12" i="4" s="1"/>
  <c r="G14" i="4" s="1"/>
</calcChain>
</file>

<file path=xl/sharedStrings.xml><?xml version="1.0" encoding="utf-8"?>
<sst xmlns="http://schemas.openxmlformats.org/spreadsheetml/2006/main" count="119" uniqueCount="86">
  <si>
    <t>Revenue Assumptions</t>
  </si>
  <si>
    <t>Starting Revenue</t>
  </si>
  <si>
    <t>Expense Assumptions</t>
  </si>
  <si>
    <t>Cost of goods sold as a percentage of revenue</t>
  </si>
  <si>
    <t>Operating expenses as a percentage of revenue</t>
  </si>
  <si>
    <t>Depreciation as a percentage of revenue or as a fixed amount</t>
  </si>
  <si>
    <t>Tax Rate</t>
  </si>
  <si>
    <t>Balance Sheet Assumptions</t>
  </si>
  <si>
    <t>Inventory as a percentage of revenue</t>
  </si>
  <si>
    <t>Accounts payable as a percentage of cost of goods sold or revenue</t>
  </si>
  <si>
    <t>Capital expenditures as a percentage of revenue</t>
  </si>
  <si>
    <t>DCF Assumptions</t>
  </si>
  <si>
    <t>Discount Rate</t>
  </si>
  <si>
    <t>Terminal Growth Rate</t>
  </si>
  <si>
    <t>Income Statement</t>
  </si>
  <si>
    <t>Historical Year</t>
  </si>
  <si>
    <t>Year 1</t>
  </si>
  <si>
    <t>Year 2</t>
  </si>
  <si>
    <t>Year 3</t>
  </si>
  <si>
    <t>Year 4</t>
  </si>
  <si>
    <t>Year 5</t>
  </si>
  <si>
    <t>Revenue</t>
  </si>
  <si>
    <t>Cost of Goods Sold</t>
  </si>
  <si>
    <t>Gross Profit</t>
  </si>
  <si>
    <t>Operating Expenses</t>
  </si>
  <si>
    <t>EBITDA</t>
  </si>
  <si>
    <t>Depreciation</t>
  </si>
  <si>
    <t>EBIT</t>
  </si>
  <si>
    <t>Taxes</t>
  </si>
  <si>
    <t>Net Income</t>
  </si>
  <si>
    <t>Balance Sheet</t>
  </si>
  <si>
    <t>Cash</t>
  </si>
  <si>
    <t>Accounts Receivable</t>
  </si>
  <si>
    <t>Inventory</t>
  </si>
  <si>
    <t>Total Current Assets</t>
  </si>
  <si>
    <t>Net Property, Plant &amp; Equipment</t>
  </si>
  <si>
    <t>Total Assets</t>
  </si>
  <si>
    <t>Accounts Payable</t>
  </si>
  <si>
    <t>Debt</t>
  </si>
  <si>
    <t>Total Liabilities</t>
  </si>
  <si>
    <t>Shareholder's Equity</t>
  </si>
  <si>
    <t>Total Liabilities &amp; Equity</t>
  </si>
  <si>
    <t>Historical Year Balance Sheet Assumptions</t>
  </si>
  <si>
    <t>Historical Net PP&amp;E</t>
  </si>
  <si>
    <t>Historical Debt</t>
  </si>
  <si>
    <t>Historical Shareholder's Equity</t>
  </si>
  <si>
    <t>Dividends</t>
  </si>
  <si>
    <t>Cash Flow Statement</t>
  </si>
  <si>
    <t>Change in Accounts Receivable</t>
  </si>
  <si>
    <t>Change in Inventory</t>
  </si>
  <si>
    <t>Change in Accounts Payable</t>
  </si>
  <si>
    <t>Cash Flow From Operations</t>
  </si>
  <si>
    <t>Capital Expenditures</t>
  </si>
  <si>
    <t>Free Cash Flow</t>
  </si>
  <si>
    <t>Taxes on EBIT</t>
  </si>
  <si>
    <t>NOPAT</t>
  </si>
  <si>
    <t>Change in Net Working Capital</t>
  </si>
  <si>
    <t>DCF Valuation</t>
  </si>
  <si>
    <t>Discount Factor</t>
  </si>
  <si>
    <t>Terminal Value</t>
  </si>
  <si>
    <t>Present Value of Terminal Value</t>
  </si>
  <si>
    <t>Enterprise Value</t>
  </si>
  <si>
    <t>Discount Period</t>
  </si>
  <si>
    <t>Present Value of Free Cash Flow</t>
  </si>
  <si>
    <t>1. Company and Model Overview</t>
  </si>
  <si>
    <t>2. Main Assumptions</t>
  </si>
  <si>
    <t>3. Key Drivers</t>
  </si>
  <si>
    <t>4. Valuation Result</t>
  </si>
  <si>
    <t>5. Limitations</t>
  </si>
  <si>
    <t>Hypothetical Company's Pro-Forma Income Statement</t>
  </si>
  <si>
    <t>Hypothetical Company's Pro-Forma Balance Sheet</t>
  </si>
  <si>
    <t>Hypothetical Company's Model Assumptions</t>
  </si>
  <si>
    <t>Hypothetical Company's Pro-Forma Cash Flow Statement</t>
  </si>
  <si>
    <t>Hypothetical Company's Free Cash Flow</t>
  </si>
  <si>
    <t>Hypothetical Company's DCF Valuation</t>
  </si>
  <si>
    <t>2-Way Sensitivity Analysis</t>
  </si>
  <si>
    <t>Hypothetical Company's Sensitivity Analysis</t>
  </si>
  <si>
    <t>Given the company's base assumptions that it would have a 10% discount rate and a 3% terminal growth rate, the enterprise value is $1,808,953.12. This is a reasonable valuation because as mentioned earlier, the model uses discounted cash flow analysis to evaluate the company. This is where the company's projected cash flow for the 5-year period and the present value of its terminal value (which would keep growing in perpetuity beyond the forecasted period) are added together to achieve the enterprise value.</t>
  </si>
  <si>
    <t xml:space="preserve">This model values a 5-year forecast for a hypothetical company with a starting revenue of $1,000,000.  These forecasts include a Pro-Forma Income Statement, a Pro-Forma Balance Sheet, a Pro-Forma Cash Flow Statement, a Free Cash Flow Statement, a DCF Valuation, and the model's sensitivity analysis. The company uses a discounted cash flow valuation approach for determining its value. </t>
  </si>
  <si>
    <t>Revenue Growth Rate for each forecast year</t>
  </si>
  <si>
    <t>Hypothetical Company's Sensitivity Analysis (Linked from Assumptions)</t>
  </si>
  <si>
    <t>Accounts receivable as a percentage of revenue</t>
  </si>
  <si>
    <t>Model Overview</t>
  </si>
  <si>
    <t>For this hypothetical company, the main assumptions are as follows; a revenue growth of 5%, costs of goods sold is 60% of the company's revenue, operating expenses are 20% of revenue, the tax rate is 25%, capital expenditures are 4% of revenue, the discount rate is 10%, and the company's terminal growth rate is 3%. These assumptions were recommended from the model's instructions. The model also addresses the following assumptions in addition to the recommended metrics from the instructions. This includes the company's starting revenue at $1,000,000, a fixed depreciation amount of $40,000 per year, a starting cash balance of $100,000, accounts receivable as 8% of revenue, inventory as 10% of revenue, accounts payable as 12% of cost of goods sold, Year 0 (historical year) NET PP&amp;E of $300,000, historical debt of $200,000, and historical shareholder's equity of $308,000. The model also accounts for the assumption of the company paying $0.00 in dividends. If the company chooses to pay  dividends in the future, note that they will reduce the free cash flow available for debt repayment or cash accumulation.</t>
  </si>
  <si>
    <t xml:space="preserve">The biggest key drivers that mostly affect the company's valuation would be revenue growth, operating margin, discount rate, and terminal growth rate. Higher revenue growth, operating margin, and terminal growth increase the valuation because they raise the company's expected free cash flow. The discount rate has a negative effect on the company's valuation. The higher the discount rate, the harsher the future cash flows would be discounted to present time, and future cash flows would be worth a lot less in present time. </t>
  </si>
  <si>
    <t>While the model covers a lot about the hypothetical company's 5-year forecast and potential changes in these projections if there is a change in terminal growth rate and discount rate (in the sensitivity analysis), there are still limitations present that the model doesn't cover. For example, this model is a simplified version. It doesn't go into depth on certain details, like equity for the balance sheet, or cash flow from investments or financing. Also, the model does not cover every real-world business risk. Mostly, it only covers the company's potential valuation if certain metrics (such as the discount rate and the growth rate) differ from expectations. The biggest thing to take note of from this entire model is that it is solely based on assumptions. That is the biggest limitation of the entire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</si>
</sst>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8"/>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rgb="FFFFFFCC"/>
        <bgColor indexed="64"/>
      </patternFill>
    </fill>
  </fills>
  <borders count="32">
    <border>
      <left/>
      <right/>
      <top/>
      <bottom/>
      <diagonal/>
    </border>
    <border>
      <left style="medium">
        <color theme="3" tint="9.9978637043366805E-2"/>
      </left>
      <right style="medium">
        <color theme="3" tint="9.9978637043366805E-2"/>
      </right>
      <top style="medium">
        <color theme="3" tint="9.9978637043366805E-2"/>
      </top>
      <bottom style="medium">
        <color theme="3" tint="9.9978637043366805E-2"/>
      </bottom>
      <diagonal/>
    </border>
    <border>
      <left style="medium">
        <color theme="3" tint="9.9978637043366805E-2"/>
      </left>
      <right/>
      <top style="medium">
        <color theme="3" tint="9.9978637043366805E-2"/>
      </top>
      <bottom/>
      <diagonal/>
    </border>
    <border>
      <left/>
      <right style="medium">
        <color theme="3" tint="9.9978637043366805E-2"/>
      </right>
      <top style="medium">
        <color theme="3" tint="9.9978637043366805E-2"/>
      </top>
      <bottom/>
      <diagonal/>
    </border>
    <border>
      <left style="medium">
        <color theme="3" tint="9.9978637043366805E-2"/>
      </left>
      <right/>
      <top/>
      <bottom/>
      <diagonal/>
    </border>
    <border>
      <left/>
      <right style="medium">
        <color theme="3" tint="9.9978637043366805E-2"/>
      </right>
      <top/>
      <bottom/>
      <diagonal/>
    </border>
    <border>
      <left style="medium">
        <color theme="3" tint="9.9978637043366805E-2"/>
      </left>
      <right/>
      <top/>
      <bottom style="medium">
        <color theme="3" tint="9.9978637043366805E-2"/>
      </bottom>
      <diagonal/>
    </border>
    <border>
      <left/>
      <right style="medium">
        <color theme="3" tint="9.9978637043366805E-2"/>
      </right>
      <top/>
      <bottom style="medium">
        <color theme="3" tint="9.9978637043366805E-2"/>
      </bottom>
      <diagonal/>
    </border>
    <border>
      <left style="medium">
        <color theme="3" tint="9.9978637043366805E-2"/>
      </left>
      <right/>
      <top style="medium">
        <color theme="3" tint="9.9978637043366805E-2"/>
      </top>
      <bottom style="medium">
        <color theme="3" tint="9.9978637043366805E-2"/>
      </bottom>
      <diagonal/>
    </border>
    <border>
      <left/>
      <right style="medium">
        <color theme="3" tint="9.9978637043366805E-2"/>
      </right>
      <top style="medium">
        <color theme="3" tint="9.9978637043366805E-2"/>
      </top>
      <bottom style="medium">
        <color theme="3" tint="9.9978637043366805E-2"/>
      </bottom>
      <diagonal/>
    </border>
    <border>
      <left/>
      <right/>
      <top style="medium">
        <color theme="3" tint="9.9978637043366805E-2"/>
      </top>
      <bottom/>
      <diagonal/>
    </border>
    <border>
      <left/>
      <right/>
      <top/>
      <bottom style="medium">
        <color theme="3" tint="9.9978637043366805E-2"/>
      </bottom>
      <diagonal/>
    </border>
    <border>
      <left/>
      <right/>
      <top style="medium">
        <color theme="3" tint="9.9978637043366805E-2"/>
      </top>
      <bottom style="medium">
        <color theme="3" tint="9.9978637043366805E-2"/>
      </bottom>
      <diagonal/>
    </border>
    <border>
      <left style="medium">
        <color theme="3" tint="9.9978637043366805E-2"/>
      </left>
      <right/>
      <top/>
      <bottom style="thin">
        <color theme="3" tint="9.9978637043366805E-2"/>
      </bottom>
      <diagonal/>
    </border>
    <border>
      <left/>
      <right/>
      <top/>
      <bottom style="thin">
        <color theme="3" tint="9.9978637043366805E-2"/>
      </bottom>
      <diagonal/>
    </border>
    <border>
      <left/>
      <right style="medium">
        <color theme="3" tint="9.9978637043366805E-2"/>
      </right>
      <top/>
      <bottom style="thin">
        <color theme="3" tint="9.9978637043366805E-2"/>
      </bottom>
      <diagonal/>
    </border>
    <border>
      <left style="medium">
        <color theme="3" tint="9.9978637043366805E-2"/>
      </left>
      <right style="medium">
        <color theme="3" tint="9.9978637043366805E-2"/>
      </right>
      <top/>
      <bottom/>
      <diagonal/>
    </border>
    <border>
      <left style="medium">
        <color theme="3" tint="9.9978637043366805E-2"/>
      </left>
      <right style="medium">
        <color theme="3" tint="9.9978637043366805E-2"/>
      </right>
      <top/>
      <bottom style="medium">
        <color theme="3" tint="9.9978637043366805E-2"/>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86">
    <xf numFmtId="0" fontId="0" fillId="0" borderId="0" xfId="0"/>
    <xf numFmtId="0" fontId="2" fillId="0" borderId="0" xfId="0" applyFont="1"/>
    <xf numFmtId="0" fontId="0" fillId="0" borderId="4" xfId="0" applyBorder="1"/>
    <xf numFmtId="0" fontId="0" fillId="0" borderId="5" xfId="0" applyBorder="1"/>
    <xf numFmtId="0" fontId="0" fillId="0" borderId="4" xfId="0" applyBorder="1" applyAlignment="1">
      <alignment wrapText="1"/>
    </xf>
    <xf numFmtId="0" fontId="0" fillId="0" borderId="6" xfId="0" applyBorder="1"/>
    <xf numFmtId="0" fontId="3" fillId="3" borderId="8" xfId="0" applyFont="1" applyFill="1" applyBorder="1"/>
    <xf numFmtId="0" fontId="0" fillId="3" borderId="9" xfId="0" applyFill="1" applyBorder="1"/>
    <xf numFmtId="9" fontId="0" fillId="4" borderId="5" xfId="0" applyNumberFormat="1" applyFill="1" applyBorder="1"/>
    <xf numFmtId="9" fontId="0" fillId="4" borderId="7" xfId="0" applyNumberFormat="1" applyFill="1" applyBorder="1"/>
    <xf numFmtId="164" fontId="0" fillId="0" borderId="5" xfId="0" applyNumberFormat="1" applyBorder="1"/>
    <xf numFmtId="164" fontId="0" fillId="4" borderId="5" xfId="0" applyNumberFormat="1" applyFill="1" applyBorder="1"/>
    <xf numFmtId="44" fontId="0" fillId="4" borderId="5" xfId="1" applyFont="1" applyFill="1" applyBorder="1"/>
    <xf numFmtId="164" fontId="0" fillId="0" borderId="0" xfId="0" applyNumberFormat="1"/>
    <xf numFmtId="0" fontId="2" fillId="0" borderId="4" xfId="0" applyFont="1" applyBorder="1"/>
    <xf numFmtId="164" fontId="2" fillId="0" borderId="0" xfId="0" applyNumberFormat="1" applyFont="1"/>
    <xf numFmtId="164" fontId="2" fillId="0" borderId="5" xfId="0" applyNumberFormat="1" applyFont="1" applyBorder="1"/>
    <xf numFmtId="0" fontId="2" fillId="0" borderId="6" xfId="0" applyFont="1" applyBorder="1"/>
    <xf numFmtId="164" fontId="2" fillId="0" borderId="11" xfId="0" applyNumberFormat="1" applyFont="1" applyBorder="1"/>
    <xf numFmtId="164" fontId="2" fillId="0" borderId="7" xfId="0" applyNumberFormat="1" applyFont="1" applyBorder="1"/>
    <xf numFmtId="0" fontId="3" fillId="3" borderId="6" xfId="0" applyFont="1" applyFill="1" applyBorder="1"/>
    <xf numFmtId="0" fontId="3" fillId="3" borderId="11" xfId="0" applyFont="1" applyFill="1" applyBorder="1"/>
    <xf numFmtId="0" fontId="3" fillId="3" borderId="7" xfId="0" applyFont="1" applyFill="1" applyBorder="1"/>
    <xf numFmtId="0" fontId="2" fillId="0" borderId="8" xfId="0" applyFont="1" applyBorder="1"/>
    <xf numFmtId="0" fontId="2" fillId="3" borderId="9" xfId="0" applyFont="1" applyFill="1" applyBorder="1"/>
    <xf numFmtId="0" fontId="3" fillId="3" borderId="9" xfId="0" applyFont="1" applyFill="1" applyBorder="1"/>
    <xf numFmtId="0" fontId="6" fillId="0" borderId="4" xfId="0" applyFont="1" applyBorder="1"/>
    <xf numFmtId="164" fontId="0" fillId="0" borderId="0" xfId="1" applyNumberFormat="1" applyFont="1" applyBorder="1"/>
    <xf numFmtId="0" fontId="3" fillId="3" borderId="12" xfId="0" applyFont="1" applyFill="1" applyBorder="1"/>
    <xf numFmtId="164" fontId="2" fillId="0" borderId="12" xfId="0" applyNumberFormat="1" applyFont="1" applyBorder="1"/>
    <xf numFmtId="164" fontId="2" fillId="0" borderId="9" xfId="0" applyNumberFormat="1" applyFont="1" applyBorder="1"/>
    <xf numFmtId="0" fontId="2" fillId="3" borderId="12" xfId="0" applyFont="1" applyFill="1" applyBorder="1"/>
    <xf numFmtId="0" fontId="0" fillId="4" borderId="0" xfId="0" applyFill="1"/>
    <xf numFmtId="0" fontId="0" fillId="4" borderId="5" xfId="0" applyFill="1" applyBorder="1"/>
    <xf numFmtId="2" fontId="0" fillId="0" borderId="0" xfId="0" applyNumberFormat="1"/>
    <xf numFmtId="2" fontId="0" fillId="0" borderId="5" xfId="0" applyNumberFormat="1" applyBorder="1"/>
    <xf numFmtId="0" fontId="0" fillId="0" borderId="13" xfId="0" applyBorder="1"/>
    <xf numFmtId="0" fontId="0" fillId="0" borderId="14" xfId="0" applyBorder="1"/>
    <xf numFmtId="164" fontId="2" fillId="0" borderId="15" xfId="0" applyNumberFormat="1" applyFont="1" applyBorder="1"/>
    <xf numFmtId="0" fontId="2" fillId="3" borderId="6" xfId="0" applyFont="1" applyFill="1" applyBorder="1"/>
    <xf numFmtId="164" fontId="2" fillId="3" borderId="11" xfId="0" applyNumberFormat="1" applyFont="1" applyFill="1" applyBorder="1"/>
    <xf numFmtId="0" fontId="2" fillId="3" borderId="11" xfId="0" applyFont="1" applyFill="1" applyBorder="1"/>
    <xf numFmtId="0" fontId="2" fillId="3" borderId="7" xfId="0" applyFont="1" applyFill="1" applyBorder="1"/>
    <xf numFmtId="164" fontId="0" fillId="0" borderId="11" xfId="0" applyNumberFormat="1" applyBorder="1"/>
    <xf numFmtId="164" fontId="0" fillId="0" borderId="7" xfId="0" applyNumberFormat="1" applyBorder="1"/>
    <xf numFmtId="0" fontId="0" fillId="0" borderId="16" xfId="0" applyBorder="1"/>
    <xf numFmtId="0" fontId="3" fillId="3" borderId="16" xfId="0" applyFont="1" applyFill="1" applyBorder="1"/>
    <xf numFmtId="0" fontId="4" fillId="0" borderId="0" xfId="0" applyFont="1"/>
    <xf numFmtId="0" fontId="3" fillId="0" borderId="0" xfId="0" applyFont="1"/>
    <xf numFmtId="0" fontId="0" fillId="0" borderId="0" xfId="0" applyAlignment="1">
      <alignment wrapText="1"/>
    </xf>
    <xf numFmtId="0" fontId="0" fillId="0" borderId="16" xfId="0" applyBorder="1" applyAlignment="1">
      <alignment vertical="center" wrapText="1"/>
    </xf>
    <xf numFmtId="0" fontId="0" fillId="0" borderId="17" xfId="0" applyBorder="1" applyAlignment="1">
      <alignment vertical="center" wrapText="1"/>
    </xf>
    <xf numFmtId="0" fontId="6" fillId="0" borderId="0" xfId="0" applyFont="1"/>
    <xf numFmtId="9" fontId="0" fillId="0" borderId="0" xfId="0" applyNumberFormat="1"/>
    <xf numFmtId="9" fontId="3" fillId="3" borderId="18" xfId="2" applyFont="1" applyFill="1" applyBorder="1"/>
    <xf numFmtId="0" fontId="4" fillId="0" borderId="19" xfId="0" applyFont="1" applyBorder="1"/>
    <xf numFmtId="0" fontId="0" fillId="0" borderId="20" xfId="0" applyBorder="1"/>
    <xf numFmtId="0" fontId="0" fillId="0" borderId="21" xfId="0" applyBorder="1"/>
    <xf numFmtId="0" fontId="3" fillId="3" borderId="22" xfId="0" applyFont="1" applyFill="1" applyBorder="1"/>
    <xf numFmtId="9" fontId="3" fillId="3" borderId="26" xfId="2" applyFont="1" applyFill="1" applyBorder="1"/>
    <xf numFmtId="9" fontId="3" fillId="3" borderId="27" xfId="2" applyFont="1" applyFill="1" applyBorder="1"/>
    <xf numFmtId="9" fontId="3" fillId="3" borderId="28" xfId="2" applyFont="1" applyFill="1" applyBorder="1"/>
    <xf numFmtId="9" fontId="3" fillId="3" borderId="25" xfId="2" applyFont="1" applyFill="1" applyBorder="1"/>
    <xf numFmtId="0" fontId="4" fillId="2" borderId="8" xfId="0" applyFont="1" applyFill="1" applyBorder="1" applyAlignment="1">
      <alignment horizontal="center"/>
    </xf>
    <xf numFmtId="0" fontId="4" fillId="2" borderId="12" xfId="0" applyFont="1" applyFill="1" applyBorder="1" applyAlignment="1">
      <alignment horizontal="center"/>
    </xf>
    <xf numFmtId="0" fontId="4" fillId="2" borderId="9" xfId="0" applyFont="1" applyFill="1" applyBorder="1" applyAlignment="1">
      <alignment horizontal="center"/>
    </xf>
    <xf numFmtId="0" fontId="4" fillId="2" borderId="2" xfId="0" applyFont="1" applyFill="1" applyBorder="1" applyAlignment="1">
      <alignment horizontal="center"/>
    </xf>
    <xf numFmtId="0" fontId="4" fillId="2" borderId="10" xfId="0" applyFont="1" applyFill="1" applyBorder="1" applyAlignment="1">
      <alignment horizontal="center"/>
    </xf>
    <xf numFmtId="0" fontId="4" fillId="2" borderId="3" xfId="0" applyFont="1" applyFill="1" applyBorder="1" applyAlignment="1">
      <alignment horizontal="center"/>
    </xf>
    <xf numFmtId="9" fontId="3" fillId="3" borderId="22" xfId="2" applyFont="1" applyFill="1" applyBorder="1" applyAlignment="1">
      <alignment horizontal="center"/>
    </xf>
    <xf numFmtId="9" fontId="3" fillId="3" borderId="23" xfId="2" applyFont="1" applyFill="1" applyBorder="1" applyAlignment="1">
      <alignment horizontal="center"/>
    </xf>
    <xf numFmtId="9" fontId="3" fillId="3" borderId="24" xfId="2" applyFont="1" applyFill="1" applyBorder="1" applyAlignment="1">
      <alignment horizontal="center"/>
    </xf>
    <xf numFmtId="0" fontId="0" fillId="2" borderId="12" xfId="0" applyFill="1" applyBorder="1" applyAlignment="1">
      <alignment horizontal="center"/>
    </xf>
    <xf numFmtId="0" fontId="0" fillId="2" borderId="9" xfId="0" applyFill="1" applyBorder="1" applyAlignment="1">
      <alignment horizontal="center"/>
    </xf>
    <xf numFmtId="44" fontId="3" fillId="3" borderId="29" xfId="1" applyFont="1" applyFill="1" applyBorder="1" applyAlignment="1">
      <alignment horizontal="center"/>
    </xf>
    <xf numFmtId="164" fontId="0" fillId="0" borderId="22" xfId="0" applyNumberFormat="1" applyBorder="1"/>
    <xf numFmtId="164" fontId="0" fillId="0" borderId="23" xfId="0" applyNumberFormat="1" applyBorder="1"/>
    <xf numFmtId="164" fontId="0" fillId="0" borderId="24" xfId="0" applyNumberFormat="1" applyBorder="1"/>
    <xf numFmtId="164" fontId="0" fillId="0" borderId="30" xfId="0" applyNumberFormat="1" applyBorder="1"/>
    <xf numFmtId="164" fontId="0" fillId="0" borderId="0" xfId="0" applyNumberFormat="1" applyBorder="1"/>
    <xf numFmtId="164" fontId="0" fillId="0" borderId="31" xfId="0" applyNumberFormat="1" applyBorder="1"/>
    <xf numFmtId="164" fontId="2" fillId="0" borderId="0" xfId="0" applyNumberFormat="1" applyFont="1" applyBorder="1"/>
    <xf numFmtId="164" fontId="0" fillId="0" borderId="25" xfId="0" applyNumberFormat="1" applyBorder="1"/>
    <xf numFmtId="164" fontId="0" fillId="0" borderId="18" xfId="0" applyNumberFormat="1" applyBorder="1"/>
    <xf numFmtId="164" fontId="0" fillId="0" borderId="26" xfId="0" applyNumberFormat="1" applyBorder="1"/>
    <xf numFmtId="0" fontId="4" fillId="2" borderId="1" xfId="0" applyFont="1" applyFill="1" applyBorder="1" applyAlignment="1">
      <alignment horizontal="center"/>
    </xf>
  </cellXfs>
  <cellStyles count="3">
    <cellStyle name="Currency" xfId="1" builtinId="4"/>
    <cellStyle name="Normal" xfId="0" builtinId="0"/>
    <cellStyle name="Percent" xfId="2" builtinId="5"/>
  </cellStyles>
  <dxfs count="1">
    <dxf>
      <font>
        <strike val="0"/>
        <color rgb="FFFF0000"/>
      </font>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C5083-A6EB-4560-9B9F-A12D9AB64995}">
  <dimension ref="A1:G19"/>
  <sheetViews>
    <sheetView tabSelected="1" topLeftCell="A10" workbookViewId="0">
      <selection activeCell="C12" sqref="C12"/>
    </sheetView>
  </sheetViews>
  <sheetFormatPr defaultRowHeight="14.4" x14ac:dyDescent="0.3"/>
  <cols>
    <col min="1" max="1" width="58.5546875" customWidth="1"/>
    <col min="6" max="6" width="30.77734375" customWidth="1"/>
    <col min="7" max="7" width="29.21875" customWidth="1"/>
  </cols>
  <sheetData>
    <row r="1" spans="1:7" ht="18.600000000000001" thickBot="1" x14ac:dyDescent="0.4">
      <c r="A1" s="85" t="s">
        <v>82</v>
      </c>
      <c r="B1" s="47"/>
      <c r="C1" s="47"/>
      <c r="D1" s="47"/>
      <c r="E1" s="47"/>
      <c r="F1" s="47"/>
      <c r="G1" s="47"/>
    </row>
    <row r="2" spans="1:7" x14ac:dyDescent="0.3">
      <c r="A2" s="45"/>
    </row>
    <row r="3" spans="1:7" ht="15.6" x14ac:dyDescent="0.3">
      <c r="A3" s="46" t="s">
        <v>64</v>
      </c>
      <c r="B3" s="48"/>
      <c r="C3" s="48"/>
      <c r="D3" s="48"/>
      <c r="E3" s="48"/>
      <c r="F3" s="48"/>
      <c r="G3" s="48"/>
    </row>
    <row r="4" spans="1:7" ht="107.4" customHeight="1" x14ac:dyDescent="0.3">
      <c r="A4" s="50" t="s">
        <v>78</v>
      </c>
      <c r="B4" s="49"/>
      <c r="C4" s="49"/>
      <c r="D4" s="49"/>
      <c r="E4" s="49"/>
      <c r="F4" s="48"/>
    </row>
    <row r="5" spans="1:7" ht="15.6" x14ac:dyDescent="0.3">
      <c r="A5" s="46" t="s">
        <v>65</v>
      </c>
      <c r="B5" s="48"/>
      <c r="C5" s="48"/>
      <c r="D5" s="48"/>
      <c r="E5" s="48"/>
      <c r="F5" s="52"/>
      <c r="G5" s="13"/>
    </row>
    <row r="6" spans="1:7" ht="244.8" x14ac:dyDescent="0.3">
      <c r="A6" s="50" t="s">
        <v>83</v>
      </c>
      <c r="B6" s="49"/>
      <c r="C6" s="49"/>
      <c r="D6" s="49"/>
      <c r="E6" s="49"/>
      <c r="F6" s="49"/>
      <c r="G6" s="53"/>
    </row>
    <row r="7" spans="1:7" ht="15.6" x14ac:dyDescent="0.3">
      <c r="A7" s="46" t="s">
        <v>66</v>
      </c>
      <c r="B7" s="48"/>
      <c r="C7" s="48"/>
      <c r="D7" s="48"/>
      <c r="E7" s="48"/>
      <c r="G7" s="53"/>
    </row>
    <row r="8" spans="1:7" ht="115.2" x14ac:dyDescent="0.3">
      <c r="A8" s="50" t="s">
        <v>84</v>
      </c>
      <c r="B8" s="49"/>
      <c r="C8" s="49"/>
      <c r="D8" s="49"/>
      <c r="E8" s="49"/>
      <c r="F8" s="49"/>
      <c r="G8" s="53"/>
    </row>
    <row r="9" spans="1:7" ht="15.6" x14ac:dyDescent="0.3">
      <c r="A9" s="46" t="s">
        <v>67</v>
      </c>
      <c r="B9" s="48"/>
      <c r="C9" s="48"/>
      <c r="D9" s="48"/>
      <c r="E9" s="48"/>
      <c r="F9" s="49"/>
      <c r="G9" s="53"/>
    </row>
    <row r="10" spans="1:7" ht="115.2" x14ac:dyDescent="0.3">
      <c r="A10" s="50" t="s">
        <v>77</v>
      </c>
      <c r="B10" s="49"/>
      <c r="C10" s="49"/>
      <c r="D10" s="49"/>
      <c r="E10" s="49"/>
      <c r="F10" s="49"/>
      <c r="G10" s="13"/>
    </row>
    <row r="11" spans="1:7" ht="15.6" x14ac:dyDescent="0.3">
      <c r="A11" s="46" t="s">
        <v>68</v>
      </c>
      <c r="B11" s="48"/>
      <c r="C11" s="48"/>
      <c r="D11" s="48"/>
      <c r="E11" s="48"/>
    </row>
    <row r="12" spans="1:7" ht="173.4" thickBot="1" x14ac:dyDescent="0.35">
      <c r="A12" s="51" t="s">
        <v>85</v>
      </c>
      <c r="B12" s="49"/>
      <c r="C12" s="49"/>
      <c r="D12" s="49"/>
      <c r="E12" s="49"/>
      <c r="F12" s="48"/>
      <c r="G12" s="48"/>
    </row>
    <row r="13" spans="1:7" x14ac:dyDescent="0.3">
      <c r="G13" s="13"/>
    </row>
    <row r="14" spans="1:7" x14ac:dyDescent="0.3">
      <c r="G14" s="13"/>
    </row>
    <row r="15" spans="1:7" x14ac:dyDescent="0.3">
      <c r="G15" s="13"/>
    </row>
    <row r="17" spans="6:7" ht="15.6" x14ac:dyDescent="0.3">
      <c r="F17" s="48"/>
    </row>
    <row r="18" spans="6:7" x14ac:dyDescent="0.3">
      <c r="G18" s="53"/>
    </row>
    <row r="19" spans="6:7" x14ac:dyDescent="0.3">
      <c r="G19" s="5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D9D60-8825-4B39-A252-1525AE1AA702}">
  <dimension ref="A1:N30"/>
  <sheetViews>
    <sheetView zoomScale="99" workbookViewId="0">
      <selection activeCell="A15" sqref="A15"/>
    </sheetView>
  </sheetViews>
  <sheetFormatPr defaultRowHeight="14.4" x14ac:dyDescent="0.3"/>
  <cols>
    <col min="1" max="1" width="41.5546875" customWidth="1"/>
    <col min="2" max="2" width="12.6640625" bestFit="1" customWidth="1"/>
    <col min="9" max="9" width="34.77734375" customWidth="1"/>
    <col min="10" max="14" width="12.6640625" bestFit="1" customWidth="1"/>
  </cols>
  <sheetData>
    <row r="1" spans="1:14" ht="18.600000000000001" thickBot="1" x14ac:dyDescent="0.4">
      <c r="A1" s="63" t="s">
        <v>71</v>
      </c>
      <c r="B1" s="65"/>
    </row>
    <row r="2" spans="1:14" ht="15" thickBot="1" x14ac:dyDescent="0.35">
      <c r="A2" s="2"/>
      <c r="B2" s="3"/>
    </row>
    <row r="3" spans="1:14" ht="16.2" thickBot="1" x14ac:dyDescent="0.35">
      <c r="A3" s="6" t="s">
        <v>0</v>
      </c>
      <c r="B3" s="7"/>
    </row>
    <row r="4" spans="1:14" ht="15" thickBot="1" x14ac:dyDescent="0.35">
      <c r="A4" s="2" t="s">
        <v>1</v>
      </c>
      <c r="B4" s="11">
        <v>1000000</v>
      </c>
    </row>
    <row r="5" spans="1:14" ht="18.600000000000001" thickBot="1" x14ac:dyDescent="0.4">
      <c r="A5" s="2" t="s">
        <v>79</v>
      </c>
      <c r="B5" s="8">
        <v>0.05</v>
      </c>
      <c r="I5" s="66" t="s">
        <v>76</v>
      </c>
      <c r="J5" s="67"/>
      <c r="K5" s="67"/>
      <c r="L5" s="67"/>
      <c r="M5" s="67"/>
      <c r="N5" s="68"/>
    </row>
    <row r="6" spans="1:14" ht="18.600000000000001" thickBot="1" x14ac:dyDescent="0.4">
      <c r="A6" s="2"/>
      <c r="B6" s="3"/>
      <c r="I6" s="55"/>
      <c r="J6" s="56"/>
      <c r="K6" s="56"/>
      <c r="L6" s="56"/>
      <c r="M6" s="56"/>
      <c r="N6" s="57"/>
    </row>
    <row r="7" spans="1:14" ht="16.2" thickBot="1" x14ac:dyDescent="0.35">
      <c r="A7" s="6" t="s">
        <v>2</v>
      </c>
      <c r="B7" s="7"/>
      <c r="I7" s="58" t="s">
        <v>75</v>
      </c>
      <c r="J7" s="69" t="s">
        <v>13</v>
      </c>
      <c r="K7" s="70"/>
      <c r="L7" s="70"/>
      <c r="M7" s="70"/>
      <c r="N7" s="71"/>
    </row>
    <row r="8" spans="1:14" ht="16.2" thickBot="1" x14ac:dyDescent="0.35">
      <c r="A8" s="2" t="s">
        <v>3</v>
      </c>
      <c r="B8" s="8">
        <v>0.6</v>
      </c>
      <c r="I8" s="74">
        <f>'DCF Valuation'!$B$11</f>
        <v>1808953.1233229572</v>
      </c>
      <c r="J8" s="62">
        <v>0.01</v>
      </c>
      <c r="K8" s="54">
        <v>0.02</v>
      </c>
      <c r="L8" s="54">
        <v>0.03</v>
      </c>
      <c r="M8" s="54">
        <v>0.04</v>
      </c>
      <c r="N8" s="59">
        <v>0.05</v>
      </c>
    </row>
    <row r="9" spans="1:14" ht="15.6" x14ac:dyDescent="0.3">
      <c r="A9" s="2" t="s">
        <v>4</v>
      </c>
      <c r="B9" s="8">
        <v>0.2</v>
      </c>
      <c r="I9" s="60">
        <v>0.08</v>
      </c>
      <c r="J9" s="13">
        <f t="dataTable" ref="J9:N13" dt2D="1" dtr="1" r1="B28" r2="B27"/>
        <v>1934468.1018632755</v>
      </c>
      <c r="K9" s="13">
        <v>2186175.9915469405</v>
      </c>
      <c r="L9" s="13">
        <v>2538567.0371040711</v>
      </c>
      <c r="M9" s="13">
        <v>3067153.6054397668</v>
      </c>
      <c r="N9" s="10">
        <v>3948131.2193325926</v>
      </c>
    </row>
    <row r="10" spans="1:14" ht="28.8" x14ac:dyDescent="0.3">
      <c r="A10" s="4" t="s">
        <v>5</v>
      </c>
      <c r="B10" s="12">
        <v>40000</v>
      </c>
      <c r="I10" s="60">
        <v>0.09</v>
      </c>
      <c r="J10" s="13">
        <v>1688367.9824664895</v>
      </c>
      <c r="K10" s="13">
        <v>1870315.9137622528</v>
      </c>
      <c r="L10" s="13">
        <v>2112913.1554899374</v>
      </c>
      <c r="M10" s="13">
        <v>2452549.2939086948</v>
      </c>
      <c r="N10" s="10">
        <v>2962003.5015368317</v>
      </c>
    </row>
    <row r="11" spans="1:14" ht="15.6" x14ac:dyDescent="0.3">
      <c r="A11" s="2" t="s">
        <v>6</v>
      </c>
      <c r="B11" s="8">
        <v>0.25</v>
      </c>
      <c r="I11" s="60">
        <v>0.1</v>
      </c>
      <c r="J11" s="13">
        <v>1497092.9998709857</v>
      </c>
      <c r="K11" s="13">
        <v>1633531.8038812233</v>
      </c>
      <c r="L11" s="15">
        <v>1808953.1233229572</v>
      </c>
      <c r="M11" s="13">
        <v>2042848.2159119358</v>
      </c>
      <c r="N11" s="10">
        <v>2370301.3455365058</v>
      </c>
    </row>
    <row r="12" spans="1:14" ht="16.2" thickBot="1" x14ac:dyDescent="0.35">
      <c r="A12" s="2"/>
      <c r="B12" s="3"/>
      <c r="I12" s="60">
        <v>0.11</v>
      </c>
      <c r="J12" s="13">
        <v>1344189.9080623006</v>
      </c>
      <c r="K12" s="13">
        <v>1449460.415483041</v>
      </c>
      <c r="L12" s="13">
        <v>1581048.5497589661</v>
      </c>
      <c r="M12" s="13">
        <v>1750233.2938280127</v>
      </c>
      <c r="N12" s="10">
        <v>1975812.9525867414</v>
      </c>
    </row>
    <row r="13" spans="1:14" ht="16.2" thickBot="1" x14ac:dyDescent="0.35">
      <c r="A13" s="6" t="s">
        <v>7</v>
      </c>
      <c r="B13" s="7"/>
      <c r="I13" s="61">
        <v>0.12</v>
      </c>
      <c r="J13" s="43">
        <v>1219188.7514437118</v>
      </c>
      <c r="K13" s="43">
        <v>1302284.0332577792</v>
      </c>
      <c r="L13" s="43">
        <v>1403844.9332527504</v>
      </c>
      <c r="M13" s="43">
        <v>1530796.0582464645</v>
      </c>
      <c r="N13" s="44">
        <v>1694018.9332383825</v>
      </c>
    </row>
    <row r="14" spans="1:14" x14ac:dyDescent="0.3">
      <c r="A14" s="26" t="s">
        <v>31</v>
      </c>
      <c r="B14" s="11">
        <v>100000</v>
      </c>
    </row>
    <row r="15" spans="1:14" x14ac:dyDescent="0.3">
      <c r="A15" s="4" t="s">
        <v>81</v>
      </c>
      <c r="B15" s="8">
        <v>0.08</v>
      </c>
    </row>
    <row r="16" spans="1:14" x14ac:dyDescent="0.3">
      <c r="A16" s="2" t="s">
        <v>8</v>
      </c>
      <c r="B16" s="8">
        <v>0.1</v>
      </c>
    </row>
    <row r="17" spans="1:2" ht="28.8" x14ac:dyDescent="0.3">
      <c r="A17" s="4" t="s">
        <v>9</v>
      </c>
      <c r="B17" s="8">
        <v>0.12</v>
      </c>
    </row>
    <row r="18" spans="1:2" x14ac:dyDescent="0.3">
      <c r="A18" s="4" t="s">
        <v>10</v>
      </c>
      <c r="B18" s="8">
        <v>0.04</v>
      </c>
    </row>
    <row r="19" spans="1:2" x14ac:dyDescent="0.3">
      <c r="A19" s="4" t="s">
        <v>46</v>
      </c>
      <c r="B19" s="11">
        <v>0</v>
      </c>
    </row>
    <row r="20" spans="1:2" ht="15" thickBot="1" x14ac:dyDescent="0.35">
      <c r="A20" s="2"/>
      <c r="B20" s="3"/>
    </row>
    <row r="21" spans="1:2" s="1" customFormat="1" ht="16.2" thickBot="1" x14ac:dyDescent="0.35">
      <c r="A21" s="6" t="s">
        <v>42</v>
      </c>
      <c r="B21" s="25"/>
    </row>
    <row r="22" spans="1:2" x14ac:dyDescent="0.3">
      <c r="A22" s="2" t="s">
        <v>43</v>
      </c>
      <c r="B22" s="11">
        <v>300000</v>
      </c>
    </row>
    <row r="23" spans="1:2" x14ac:dyDescent="0.3">
      <c r="A23" s="2" t="s">
        <v>44</v>
      </c>
      <c r="B23" s="11">
        <v>200000</v>
      </c>
    </row>
    <row r="24" spans="1:2" x14ac:dyDescent="0.3">
      <c r="A24" s="2" t="s">
        <v>45</v>
      </c>
      <c r="B24" s="11">
        <v>308000</v>
      </c>
    </row>
    <row r="25" spans="1:2" ht="15" thickBot="1" x14ac:dyDescent="0.35">
      <c r="A25" s="2"/>
      <c r="B25" s="3"/>
    </row>
    <row r="26" spans="1:2" ht="16.2" thickBot="1" x14ac:dyDescent="0.35">
      <c r="A26" s="6" t="s">
        <v>11</v>
      </c>
      <c r="B26" s="7"/>
    </row>
    <row r="27" spans="1:2" x14ac:dyDescent="0.3">
      <c r="A27" s="2" t="s">
        <v>12</v>
      </c>
      <c r="B27" s="8">
        <v>0.1</v>
      </c>
    </row>
    <row r="28" spans="1:2" ht="15" thickBot="1" x14ac:dyDescent="0.35">
      <c r="A28" s="5" t="s">
        <v>13</v>
      </c>
      <c r="B28" s="9">
        <v>0.03</v>
      </c>
    </row>
    <row r="30" spans="1:2" x14ac:dyDescent="0.3">
      <c r="A30" s="1"/>
    </row>
  </sheetData>
  <mergeCells count="3">
    <mergeCell ref="A1:B1"/>
    <mergeCell ref="I5:N5"/>
    <mergeCell ref="J7:N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F663B-3DF8-45B8-98D9-87A4B43F7A01}">
  <dimension ref="A1:G13"/>
  <sheetViews>
    <sheetView workbookViewId="0">
      <selection activeCell="A2" sqref="A2"/>
    </sheetView>
  </sheetViews>
  <sheetFormatPr defaultRowHeight="14.4" x14ac:dyDescent="0.3"/>
  <cols>
    <col min="1" max="1" width="18.109375" bestFit="1" customWidth="1"/>
    <col min="2" max="2" width="14.6640625" bestFit="1" customWidth="1"/>
    <col min="3" max="7" width="12.6640625" bestFit="1" customWidth="1"/>
  </cols>
  <sheetData>
    <row r="1" spans="1:7" ht="18.600000000000001" thickBot="1" x14ac:dyDescent="0.4">
      <c r="A1" s="63" t="s">
        <v>69</v>
      </c>
      <c r="B1" s="72"/>
      <c r="C1" s="72"/>
      <c r="D1" s="72"/>
      <c r="E1" s="72"/>
      <c r="F1" s="72"/>
      <c r="G1" s="73"/>
    </row>
    <row r="2" spans="1:7" ht="16.2" thickBot="1" x14ac:dyDescent="0.35">
      <c r="A2" s="20" t="s">
        <v>14</v>
      </c>
      <c r="B2" s="21" t="s">
        <v>15</v>
      </c>
      <c r="C2" s="21" t="s">
        <v>16</v>
      </c>
      <c r="D2" s="21" t="s">
        <v>17</v>
      </c>
      <c r="E2" s="21" t="s">
        <v>18</v>
      </c>
      <c r="F2" s="21" t="s">
        <v>19</v>
      </c>
      <c r="G2" s="22" t="s">
        <v>20</v>
      </c>
    </row>
    <row r="3" spans="1:7" x14ac:dyDescent="0.3">
      <c r="A3" s="2" t="s">
        <v>21</v>
      </c>
      <c r="B3" s="13">
        <f>Assumptions!B4</f>
        <v>1000000</v>
      </c>
      <c r="C3" s="13">
        <f>B3*(1+Assumptions!$B$5)</f>
        <v>1050000</v>
      </c>
      <c r="D3" s="13">
        <f>C3*(1+Assumptions!$B$5)</f>
        <v>1102500</v>
      </c>
      <c r="E3" s="13">
        <f>D3*(1+Assumptions!$B$5)</f>
        <v>1157625</v>
      </c>
      <c r="F3" s="13">
        <f>E3*(1+Assumptions!$B$5)</f>
        <v>1215506.25</v>
      </c>
      <c r="G3" s="10">
        <f>F3*(1+Assumptions!$B$5)</f>
        <v>1276281.5625</v>
      </c>
    </row>
    <row r="4" spans="1:7" x14ac:dyDescent="0.3">
      <c r="A4" s="2" t="s">
        <v>22</v>
      </c>
      <c r="B4" s="13">
        <f>B3*Assumptions!$B$8</f>
        <v>600000</v>
      </c>
      <c r="C4" s="13">
        <f>C3*Assumptions!$B$8</f>
        <v>630000</v>
      </c>
      <c r="D4" s="13">
        <f>D3*Assumptions!$B$8</f>
        <v>661500</v>
      </c>
      <c r="E4" s="13">
        <f>E3*Assumptions!$B$8</f>
        <v>694575</v>
      </c>
      <c r="F4" s="13">
        <f>F3*Assumptions!$B$8</f>
        <v>729303.75</v>
      </c>
      <c r="G4" s="10">
        <f>G3*Assumptions!$B$8</f>
        <v>765768.9375</v>
      </c>
    </row>
    <row r="5" spans="1:7" x14ac:dyDescent="0.3">
      <c r="A5" s="14" t="s">
        <v>23</v>
      </c>
      <c r="B5" s="15">
        <f>B3-B4</f>
        <v>400000</v>
      </c>
      <c r="C5" s="15">
        <f t="shared" ref="C5:G5" si="0">C3-C4</f>
        <v>420000</v>
      </c>
      <c r="D5" s="15">
        <f t="shared" si="0"/>
        <v>441000</v>
      </c>
      <c r="E5" s="15">
        <f t="shared" si="0"/>
        <v>463050</v>
      </c>
      <c r="F5" s="15">
        <f t="shared" si="0"/>
        <v>486202.5</v>
      </c>
      <c r="G5" s="16">
        <f t="shared" si="0"/>
        <v>510512.625</v>
      </c>
    </row>
    <row r="6" spans="1:7" x14ac:dyDescent="0.3">
      <c r="A6" s="14"/>
      <c r="B6" s="15"/>
      <c r="C6" s="15"/>
      <c r="D6" s="15"/>
      <c r="E6" s="15"/>
      <c r="F6" s="15"/>
      <c r="G6" s="16"/>
    </row>
    <row r="7" spans="1:7" x14ac:dyDescent="0.3">
      <c r="A7" s="2" t="s">
        <v>24</v>
      </c>
      <c r="B7" s="13">
        <f>B3*Assumptions!$B$9</f>
        <v>200000</v>
      </c>
      <c r="C7" s="13">
        <f>C3*Assumptions!$B$9</f>
        <v>210000</v>
      </c>
      <c r="D7" s="13">
        <f>D3*Assumptions!$B$9</f>
        <v>220500</v>
      </c>
      <c r="E7" s="13">
        <f>E3*Assumptions!$B$9</f>
        <v>231525</v>
      </c>
      <c r="F7" s="13">
        <f>F3*Assumptions!$B$9</f>
        <v>243101.25</v>
      </c>
      <c r="G7" s="10">
        <f>G3*Assumptions!$B$9</f>
        <v>255256.3125</v>
      </c>
    </row>
    <row r="8" spans="1:7" x14ac:dyDescent="0.3">
      <c r="A8" s="2" t="s">
        <v>25</v>
      </c>
      <c r="B8" s="13">
        <f>B5-B7</f>
        <v>200000</v>
      </c>
      <c r="C8" s="13">
        <f>C5-C7</f>
        <v>210000</v>
      </c>
      <c r="D8" s="13">
        <f>D5-D7</f>
        <v>220500</v>
      </c>
      <c r="E8" s="13">
        <f>E5-E7</f>
        <v>231525</v>
      </c>
      <c r="F8" s="13">
        <f t="shared" ref="F8:G8" si="1">F5-F7</f>
        <v>243101.25</v>
      </c>
      <c r="G8" s="10">
        <f t="shared" si="1"/>
        <v>255256.3125</v>
      </c>
    </row>
    <row r="9" spans="1:7" x14ac:dyDescent="0.3">
      <c r="A9" s="2" t="s">
        <v>26</v>
      </c>
      <c r="B9" s="13">
        <f>Assumptions!$B$10</f>
        <v>40000</v>
      </c>
      <c r="C9" s="13">
        <f>Assumptions!$B$10</f>
        <v>40000</v>
      </c>
      <c r="D9" s="13">
        <f>Assumptions!$B$10</f>
        <v>40000</v>
      </c>
      <c r="E9" s="13">
        <f>Assumptions!$B$10</f>
        <v>40000</v>
      </c>
      <c r="F9" s="13">
        <f>Assumptions!$B$10</f>
        <v>40000</v>
      </c>
      <c r="G9" s="10">
        <f>Assumptions!$B$10</f>
        <v>40000</v>
      </c>
    </row>
    <row r="10" spans="1:7" x14ac:dyDescent="0.3">
      <c r="A10" s="14" t="s">
        <v>27</v>
      </c>
      <c r="B10" s="15">
        <f t="shared" ref="B10:G10" si="2">B8-B9</f>
        <v>160000</v>
      </c>
      <c r="C10" s="15">
        <f t="shared" si="2"/>
        <v>170000</v>
      </c>
      <c r="D10" s="15">
        <f t="shared" si="2"/>
        <v>180500</v>
      </c>
      <c r="E10" s="15">
        <f t="shared" si="2"/>
        <v>191525</v>
      </c>
      <c r="F10" s="15">
        <f t="shared" si="2"/>
        <v>203101.25</v>
      </c>
      <c r="G10" s="16">
        <f t="shared" si="2"/>
        <v>215256.3125</v>
      </c>
    </row>
    <row r="11" spans="1:7" x14ac:dyDescent="0.3">
      <c r="A11" s="14"/>
      <c r="B11" s="15"/>
      <c r="C11" s="15"/>
      <c r="D11" s="15"/>
      <c r="E11" s="15"/>
      <c r="F11" s="15"/>
      <c r="G11" s="16"/>
    </row>
    <row r="12" spans="1:7" x14ac:dyDescent="0.3">
      <c r="A12" s="2" t="s">
        <v>28</v>
      </c>
      <c r="B12" s="13">
        <f>B10*Assumptions!B11</f>
        <v>40000</v>
      </c>
      <c r="C12" s="13">
        <f>C10*Assumptions!$B$11</f>
        <v>42500</v>
      </c>
      <c r="D12" s="13">
        <f>D10*Assumptions!$B$11</f>
        <v>45125</v>
      </c>
      <c r="E12" s="13">
        <f>E10*Assumptions!$B$11</f>
        <v>47881.25</v>
      </c>
      <c r="F12" s="13">
        <f>F10*Assumptions!$B$11</f>
        <v>50775.3125</v>
      </c>
      <c r="G12" s="10">
        <f>G10*Assumptions!$B$11</f>
        <v>53814.078125</v>
      </c>
    </row>
    <row r="13" spans="1:7" ht="15" thickBot="1" x14ac:dyDescent="0.35">
      <c r="A13" s="17" t="s">
        <v>29</v>
      </c>
      <c r="B13" s="18">
        <f>B10-B12</f>
        <v>120000</v>
      </c>
      <c r="C13" s="18">
        <f t="shared" ref="C13:G13" si="3">C10-C12</f>
        <v>127500</v>
      </c>
      <c r="D13" s="18">
        <f t="shared" si="3"/>
        <v>135375</v>
      </c>
      <c r="E13" s="18">
        <f t="shared" si="3"/>
        <v>143643.75</v>
      </c>
      <c r="F13" s="18">
        <f t="shared" si="3"/>
        <v>152325.9375</v>
      </c>
      <c r="G13" s="19">
        <f t="shared" si="3"/>
        <v>161442.234375</v>
      </c>
    </row>
  </sheetData>
  <mergeCells count="1">
    <mergeCell ref="A1:G1"/>
  </mergeCells>
  <phoneticPr fontId="5" type="noConversion"/>
  <pageMargins left="0.7" right="0.7" top="0.75" bottom="0.75" header="0.3" footer="0.3"/>
  <ignoredErrors>
    <ignoredError sqref="B9:G9 B7:G7 B12:G12"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6716-CED5-47C0-8E90-405A1EDAB74B}">
  <dimension ref="A1:G14"/>
  <sheetViews>
    <sheetView topLeftCell="B2" workbookViewId="0">
      <selection activeCell="D11" sqref="D11"/>
    </sheetView>
  </sheetViews>
  <sheetFormatPr defaultRowHeight="14.4" x14ac:dyDescent="0.3"/>
  <cols>
    <col min="1" max="1" width="26.88671875" bestFit="1" customWidth="1"/>
    <col min="2" max="2" width="14.6640625" bestFit="1" customWidth="1"/>
    <col min="3" max="3" width="12.6640625" bestFit="1" customWidth="1"/>
    <col min="4" max="7" width="13.44140625" bestFit="1" customWidth="1"/>
  </cols>
  <sheetData>
    <row r="1" spans="1:7" ht="18.600000000000001" thickBot="1" x14ac:dyDescent="0.4">
      <c r="A1" s="63" t="s">
        <v>70</v>
      </c>
      <c r="B1" s="64"/>
      <c r="C1" s="64"/>
      <c r="D1" s="64"/>
      <c r="E1" s="64"/>
      <c r="F1" s="64"/>
      <c r="G1" s="65"/>
    </row>
    <row r="2" spans="1:7" ht="16.2" thickBot="1" x14ac:dyDescent="0.35">
      <c r="A2" s="6" t="s">
        <v>30</v>
      </c>
      <c r="B2" s="28" t="s">
        <v>15</v>
      </c>
      <c r="C2" s="28" t="s">
        <v>16</v>
      </c>
      <c r="D2" s="28" t="s">
        <v>17</v>
      </c>
      <c r="E2" s="28" t="s">
        <v>18</v>
      </c>
      <c r="F2" s="28" t="s">
        <v>19</v>
      </c>
      <c r="G2" s="25" t="s">
        <v>20</v>
      </c>
    </row>
    <row r="3" spans="1:7" x14ac:dyDescent="0.3">
      <c r="A3" s="2" t="s">
        <v>31</v>
      </c>
      <c r="B3" s="13">
        <f>Assumptions!$B$14</f>
        <v>100000</v>
      </c>
      <c r="C3" s="13">
        <f>B3+MAX(0,'Cash Flow Statement'!B11-Assumptions!$B$19-B11)</f>
        <v>100000</v>
      </c>
      <c r="D3" s="13">
        <f>C3+MAX(0,'Cash Flow Statement'!C11-Assumptions!$B$19-C11)</f>
        <v>145705</v>
      </c>
      <c r="E3" s="13">
        <f>D3+MAX(0,'Cash Flow Statement'!D11-Assumptions!$B$19-D11)</f>
        <v>277090.25</v>
      </c>
      <c r="F3" s="13">
        <f>E3+MAX(0,'Cash Flow Statement'!E11-Assumptions!$B$19-E11)</f>
        <v>414544.76250000001</v>
      </c>
      <c r="G3" s="13">
        <f>F3+MAX(0,'Cash Flow Statement'!F11-Assumptions!$B$19-F11)</f>
        <v>558372.00062499999</v>
      </c>
    </row>
    <row r="4" spans="1:7" x14ac:dyDescent="0.3">
      <c r="A4" s="2" t="s">
        <v>32</v>
      </c>
      <c r="B4" s="13">
        <f>'Income Statement'!B3*Assumptions!B$15</f>
        <v>80000</v>
      </c>
      <c r="C4" s="13">
        <f>'Income Statement'!C3*Assumptions!$B$15</f>
        <v>84000</v>
      </c>
      <c r="D4" s="13">
        <f>'Income Statement'!D3*Assumptions!$B$15</f>
        <v>88200</v>
      </c>
      <c r="E4" s="13">
        <f>'Income Statement'!E3*Assumptions!$B$15</f>
        <v>92610</v>
      </c>
      <c r="F4" s="13">
        <f>'Income Statement'!F3*Assumptions!$B$15</f>
        <v>97240.5</v>
      </c>
      <c r="G4" s="10">
        <f>'Income Statement'!G3*Assumptions!$B$15</f>
        <v>102102.52500000001</v>
      </c>
    </row>
    <row r="5" spans="1:7" x14ac:dyDescent="0.3">
      <c r="A5" s="2" t="s">
        <v>33</v>
      </c>
      <c r="B5" s="13">
        <f>'Income Statement'!B3*Assumptions!$B$16</f>
        <v>100000</v>
      </c>
      <c r="C5" s="13">
        <f>'Income Statement'!C3*Assumptions!$B$16</f>
        <v>105000</v>
      </c>
      <c r="D5" s="13">
        <f>'Income Statement'!D3*Assumptions!$B$16</f>
        <v>110250</v>
      </c>
      <c r="E5" s="13">
        <f>'Income Statement'!E3*Assumptions!$B$16</f>
        <v>115762.5</v>
      </c>
      <c r="F5" s="13">
        <f>'Income Statement'!F3*Assumptions!$B$16</f>
        <v>121550.625</v>
      </c>
      <c r="G5" s="10">
        <f>'Income Statement'!G3*Assumptions!$B$16</f>
        <v>127628.15625</v>
      </c>
    </row>
    <row r="6" spans="1:7" x14ac:dyDescent="0.3">
      <c r="A6" s="14" t="s">
        <v>34</v>
      </c>
      <c r="B6" s="15">
        <f>SUM(B3:B5)</f>
        <v>280000</v>
      </c>
      <c r="C6" s="15">
        <f t="shared" ref="C6:G6" si="0">SUM(C3:C5)</f>
        <v>289000</v>
      </c>
      <c r="D6" s="15">
        <f t="shared" si="0"/>
        <v>344155</v>
      </c>
      <c r="E6" s="15">
        <f t="shared" si="0"/>
        <v>485462.75</v>
      </c>
      <c r="F6" s="15">
        <f t="shared" si="0"/>
        <v>633335.88749999995</v>
      </c>
      <c r="G6" s="16">
        <f t="shared" si="0"/>
        <v>788102.68187500001</v>
      </c>
    </row>
    <row r="7" spans="1:7" x14ac:dyDescent="0.3">
      <c r="A7" s="2" t="s">
        <v>35</v>
      </c>
      <c r="B7" s="13">
        <f>Assumptions!B22</f>
        <v>300000</v>
      </c>
      <c r="C7" s="13">
        <f>B7+('Income Statement'!C3*Assumptions!$B$18)-'Income Statement'!C9</f>
        <v>302000</v>
      </c>
      <c r="D7" s="13">
        <f>C7+('Income Statement'!D3*Assumptions!$B$18)-'Income Statement'!D9</f>
        <v>306100</v>
      </c>
      <c r="E7" s="13">
        <f>D7+('Income Statement'!E3*Assumptions!$B$18)-'Income Statement'!E9</f>
        <v>312405</v>
      </c>
      <c r="F7" s="13">
        <f>E7+('Income Statement'!F3*Assumptions!$B$18)-'Income Statement'!F9</f>
        <v>321025.25</v>
      </c>
      <c r="G7" s="10">
        <f>F7+('Income Statement'!G3*Assumptions!$B$18)-'Income Statement'!G9</f>
        <v>332076.51250000001</v>
      </c>
    </row>
    <row r="8" spans="1:7" x14ac:dyDescent="0.3">
      <c r="A8" s="14" t="s">
        <v>36</v>
      </c>
      <c r="B8" s="15">
        <f>B6+B7</f>
        <v>580000</v>
      </c>
      <c r="C8" s="15">
        <f t="shared" ref="C8:G8" si="1">C6+C7</f>
        <v>591000</v>
      </c>
      <c r="D8" s="15">
        <f t="shared" si="1"/>
        <v>650255</v>
      </c>
      <c r="E8" s="15">
        <f t="shared" si="1"/>
        <v>797867.75</v>
      </c>
      <c r="F8" s="15">
        <f t="shared" si="1"/>
        <v>954361.13749999995</v>
      </c>
      <c r="G8" s="16">
        <f t="shared" si="1"/>
        <v>1120179.194375</v>
      </c>
    </row>
    <row r="9" spans="1:7" x14ac:dyDescent="0.3">
      <c r="A9" s="14"/>
      <c r="B9" s="15"/>
      <c r="C9" s="15"/>
      <c r="D9" s="15"/>
      <c r="E9" s="15"/>
      <c r="F9" s="15"/>
      <c r="G9" s="16"/>
    </row>
    <row r="10" spans="1:7" x14ac:dyDescent="0.3">
      <c r="A10" s="2" t="s">
        <v>37</v>
      </c>
      <c r="B10" s="13">
        <f>'Income Statement'!B4*Assumptions!$B$17</f>
        <v>72000</v>
      </c>
      <c r="C10" s="13">
        <f>'Income Statement'!C4*Assumptions!$B$17</f>
        <v>75600</v>
      </c>
      <c r="D10" s="13">
        <f>'Income Statement'!D4*Assumptions!$B$17</f>
        <v>79380</v>
      </c>
      <c r="E10" s="13">
        <f>'Income Statement'!E4*Assumptions!$B$17</f>
        <v>83349</v>
      </c>
      <c r="F10" s="13">
        <f>'Income Statement'!F4*Assumptions!$B$17</f>
        <v>87516.45</v>
      </c>
      <c r="G10" s="10">
        <f>'Income Statement'!G4*Assumptions!$B$17</f>
        <v>91892.272499999992</v>
      </c>
    </row>
    <row r="11" spans="1:7" x14ac:dyDescent="0.3">
      <c r="A11" s="2" t="s">
        <v>38</v>
      </c>
      <c r="B11" s="27">
        <f>Assumptions!B23</f>
        <v>200000</v>
      </c>
      <c r="C11" s="13">
        <f>MAX(0,B11-('Cash Flow Statement'!B11-Assumptions!$B$19))</f>
        <v>79900</v>
      </c>
      <c r="D11" s="13">
        <f>MAX(0,C11-('Cash Flow Statement'!C11-Assumptions!$B$19))</f>
        <v>0</v>
      </c>
      <c r="E11" s="13">
        <f>MAX(0,D11-('Cash Flow Statement'!D11-Assumptions!$B$19))</f>
        <v>0</v>
      </c>
      <c r="F11" s="13">
        <f>MAX(0,E11-('Cash Flow Statement'!E11-Assumptions!$B$19))</f>
        <v>0</v>
      </c>
      <c r="G11" s="13">
        <f>MAX(0,F11-('Cash Flow Statement'!F11-Assumptions!$B$19))</f>
        <v>0</v>
      </c>
    </row>
    <row r="12" spans="1:7" x14ac:dyDescent="0.3">
      <c r="A12" s="2" t="s">
        <v>39</v>
      </c>
      <c r="B12" s="13">
        <f>B10+B11</f>
        <v>272000</v>
      </c>
      <c r="C12" s="13">
        <f t="shared" ref="C12:G12" si="2">C10+C11</f>
        <v>155500</v>
      </c>
      <c r="D12" s="13">
        <f t="shared" si="2"/>
        <v>79380</v>
      </c>
      <c r="E12" s="13">
        <f t="shared" si="2"/>
        <v>83349</v>
      </c>
      <c r="F12" s="13">
        <f t="shared" si="2"/>
        <v>87516.45</v>
      </c>
      <c r="G12" s="10">
        <f t="shared" si="2"/>
        <v>91892.272499999992</v>
      </c>
    </row>
    <row r="13" spans="1:7" x14ac:dyDescent="0.3">
      <c r="A13" s="2" t="s">
        <v>40</v>
      </c>
      <c r="B13" s="13">
        <f>Assumptions!$B$24</f>
        <v>308000</v>
      </c>
      <c r="C13" s="13">
        <f>B13+('Income Statement'!C13-Assumptions!$B$19)</f>
        <v>435500</v>
      </c>
      <c r="D13" s="13">
        <f>C13+('Income Statement'!D13-Assumptions!$B$19)</f>
        <v>570875</v>
      </c>
      <c r="E13" s="13">
        <f>D13+('Income Statement'!E13-Assumptions!$B$19)</f>
        <v>714518.75</v>
      </c>
      <c r="F13" s="13">
        <f>E13+('Income Statement'!F13-Assumptions!$B$19)</f>
        <v>866844.6875</v>
      </c>
      <c r="G13" s="10">
        <f>F13+('Income Statement'!G13-Assumptions!$B$19)</f>
        <v>1028286.921875</v>
      </c>
    </row>
    <row r="14" spans="1:7" ht="15" thickBot="1" x14ac:dyDescent="0.35">
      <c r="A14" s="17" t="s">
        <v>41</v>
      </c>
      <c r="B14" s="18">
        <f>B12+B13</f>
        <v>580000</v>
      </c>
      <c r="C14" s="18">
        <f t="shared" ref="C14:G14" si="3">C12+C13</f>
        <v>591000</v>
      </c>
      <c r="D14" s="18">
        <f t="shared" si="3"/>
        <v>650255</v>
      </c>
      <c r="E14" s="18">
        <f t="shared" si="3"/>
        <v>797867.75</v>
      </c>
      <c r="F14" s="18">
        <f t="shared" si="3"/>
        <v>954361.13749999995</v>
      </c>
      <c r="G14" s="19">
        <f t="shared" si="3"/>
        <v>1120179.194375</v>
      </c>
    </row>
  </sheetData>
  <mergeCells count="1">
    <mergeCell ref="A1:G1"/>
  </mergeCells>
  <phoneticPr fontId="5" type="noConversion"/>
  <conditionalFormatting sqref="B11:G12">
    <cfRule type="cellIs" dxfId="0" priority="1" operator="lessThan">
      <formula>0</formula>
    </cfRule>
  </conditionalFormatting>
  <pageMargins left="0.7" right="0.7" top="0.75" bottom="0.75" header="0.3" footer="0.3"/>
  <ignoredErrors>
    <ignoredError sqref="B13:G1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34DD-BA74-455A-BA11-C2E66073239A}">
  <dimension ref="A1:F11"/>
  <sheetViews>
    <sheetView zoomScale="108" workbookViewId="0">
      <selection activeCell="A2" sqref="A2"/>
    </sheetView>
  </sheetViews>
  <sheetFormatPr defaultRowHeight="14.4" x14ac:dyDescent="0.3"/>
  <cols>
    <col min="1" max="1" width="26.33203125" bestFit="1" customWidth="1"/>
    <col min="2" max="6" width="11.109375" bestFit="1" customWidth="1"/>
  </cols>
  <sheetData>
    <row r="1" spans="1:6" ht="18.600000000000001" thickBot="1" x14ac:dyDescent="0.4">
      <c r="A1" s="63" t="s">
        <v>72</v>
      </c>
      <c r="B1" s="64"/>
      <c r="C1" s="64"/>
      <c r="D1" s="64"/>
      <c r="E1" s="64"/>
      <c r="F1" s="65"/>
    </row>
    <row r="2" spans="1:6" ht="16.2" thickBot="1" x14ac:dyDescent="0.35">
      <c r="A2" s="6" t="s">
        <v>47</v>
      </c>
      <c r="B2" s="28" t="s">
        <v>16</v>
      </c>
      <c r="C2" s="28" t="s">
        <v>17</v>
      </c>
      <c r="D2" s="28" t="s">
        <v>18</v>
      </c>
      <c r="E2" s="28" t="s">
        <v>19</v>
      </c>
      <c r="F2" s="25" t="s">
        <v>20</v>
      </c>
    </row>
    <row r="3" spans="1:6" x14ac:dyDescent="0.3">
      <c r="A3" s="2" t="s">
        <v>29</v>
      </c>
      <c r="B3" s="13">
        <f>'Income Statement'!C13</f>
        <v>127500</v>
      </c>
      <c r="C3" s="13">
        <f>'Income Statement'!D13</f>
        <v>135375</v>
      </c>
      <c r="D3" s="13">
        <f>'Income Statement'!E13</f>
        <v>143643.75</v>
      </c>
      <c r="E3" s="13">
        <f>'Income Statement'!F13</f>
        <v>152325.9375</v>
      </c>
      <c r="F3" s="10">
        <f>'Income Statement'!G13</f>
        <v>161442.234375</v>
      </c>
    </row>
    <row r="4" spans="1:6" x14ac:dyDescent="0.3">
      <c r="A4" s="2" t="s">
        <v>26</v>
      </c>
      <c r="B4" s="13">
        <f>'Income Statement'!C9</f>
        <v>40000</v>
      </c>
      <c r="C4" s="13">
        <f>'Income Statement'!D9</f>
        <v>40000</v>
      </c>
      <c r="D4" s="13">
        <f>'Income Statement'!E9</f>
        <v>40000</v>
      </c>
      <c r="E4" s="13">
        <f>'Income Statement'!F9</f>
        <v>40000</v>
      </c>
      <c r="F4" s="10">
        <f>'Income Statement'!G9</f>
        <v>40000</v>
      </c>
    </row>
    <row r="5" spans="1:6" x14ac:dyDescent="0.3">
      <c r="A5" s="2" t="s">
        <v>48</v>
      </c>
      <c r="B5" s="13">
        <f>'Balance Sheet'!C4-'Balance Sheet'!B4</f>
        <v>4000</v>
      </c>
      <c r="C5" s="13">
        <f>'Balance Sheet'!D4-'Balance Sheet'!C4</f>
        <v>4200</v>
      </c>
      <c r="D5" s="13">
        <f>'Balance Sheet'!E4-'Balance Sheet'!D4</f>
        <v>4410</v>
      </c>
      <c r="E5" s="13">
        <f>'Balance Sheet'!F4-'Balance Sheet'!E4</f>
        <v>4630.5</v>
      </c>
      <c r="F5" s="10">
        <f>'Balance Sheet'!G4-'Balance Sheet'!F4</f>
        <v>4862.0250000000087</v>
      </c>
    </row>
    <row r="6" spans="1:6" x14ac:dyDescent="0.3">
      <c r="A6" s="2" t="s">
        <v>49</v>
      </c>
      <c r="B6" s="13">
        <f>'Balance Sheet'!C5-'Balance Sheet'!B5</f>
        <v>5000</v>
      </c>
      <c r="C6" s="13">
        <f>'Balance Sheet'!D5-'Balance Sheet'!C5</f>
        <v>5250</v>
      </c>
      <c r="D6" s="13">
        <f>'Balance Sheet'!E5-'Balance Sheet'!D5</f>
        <v>5512.5</v>
      </c>
      <c r="E6" s="13">
        <f>'Balance Sheet'!F5-'Balance Sheet'!E5</f>
        <v>5788.125</v>
      </c>
      <c r="F6" s="10">
        <f>'Balance Sheet'!G5-'Balance Sheet'!F5</f>
        <v>6077.53125</v>
      </c>
    </row>
    <row r="7" spans="1:6" x14ac:dyDescent="0.3">
      <c r="A7" s="2" t="s">
        <v>50</v>
      </c>
      <c r="B7" s="13">
        <f>'Balance Sheet'!C10-'Balance Sheet'!B10</f>
        <v>3600</v>
      </c>
      <c r="C7" s="13">
        <f>'Balance Sheet'!D10-'Balance Sheet'!C10</f>
        <v>3780</v>
      </c>
      <c r="D7" s="13">
        <f>'Balance Sheet'!E10-'Balance Sheet'!D10</f>
        <v>3969</v>
      </c>
      <c r="E7" s="13">
        <f>'Balance Sheet'!F10-'Balance Sheet'!E10</f>
        <v>4167.4499999999971</v>
      </c>
      <c r="F7" s="10">
        <f>'Balance Sheet'!G10-'Balance Sheet'!F10</f>
        <v>4375.8224999999948</v>
      </c>
    </row>
    <row r="8" spans="1:6" x14ac:dyDescent="0.3">
      <c r="A8" s="14" t="s">
        <v>51</v>
      </c>
      <c r="B8" s="15">
        <f>B3+B4-B5-B6+B7</f>
        <v>162100</v>
      </c>
      <c r="C8" s="15">
        <f t="shared" ref="C8:F8" si="0">C3+C4-C5-C6+C7</f>
        <v>169705</v>
      </c>
      <c r="D8" s="15">
        <f t="shared" si="0"/>
        <v>177690.25</v>
      </c>
      <c r="E8" s="15">
        <f t="shared" si="0"/>
        <v>186074.76250000001</v>
      </c>
      <c r="F8" s="16">
        <f t="shared" si="0"/>
        <v>194878.50062499999</v>
      </c>
    </row>
    <row r="9" spans="1:6" x14ac:dyDescent="0.3">
      <c r="A9" s="14"/>
      <c r="B9" s="15"/>
      <c r="C9" s="15"/>
      <c r="D9" s="15"/>
      <c r="E9" s="15"/>
      <c r="F9" s="16"/>
    </row>
    <row r="10" spans="1:6" ht="15" thickBot="1" x14ac:dyDescent="0.35">
      <c r="A10" s="2" t="s">
        <v>52</v>
      </c>
      <c r="B10" s="13">
        <f>'Income Statement'!C3*Assumptions!$B$18</f>
        <v>42000</v>
      </c>
      <c r="C10" s="13">
        <f>'Income Statement'!D3*Assumptions!$B$18</f>
        <v>44100</v>
      </c>
      <c r="D10" s="13">
        <f>'Income Statement'!E3*Assumptions!$B$18</f>
        <v>46305</v>
      </c>
      <c r="E10" s="13">
        <f>'Income Statement'!F3*Assumptions!$B$18</f>
        <v>48620.25</v>
      </c>
      <c r="F10" s="10">
        <f>'Income Statement'!G3*Assumptions!$B$18</f>
        <v>51051.262500000004</v>
      </c>
    </row>
    <row r="11" spans="1:6" ht="15" thickBot="1" x14ac:dyDescent="0.35">
      <c r="A11" s="23" t="s">
        <v>53</v>
      </c>
      <c r="B11" s="29">
        <f>B8-B10</f>
        <v>120100</v>
      </c>
      <c r="C11" s="29">
        <f t="shared" ref="C11:F11" si="1">C8-C10</f>
        <v>125605</v>
      </c>
      <c r="D11" s="29">
        <f t="shared" si="1"/>
        <v>131385.25</v>
      </c>
      <c r="E11" s="29">
        <f t="shared" si="1"/>
        <v>137454.51250000001</v>
      </c>
      <c r="F11" s="30">
        <f t="shared" si="1"/>
        <v>143827.23812499997</v>
      </c>
    </row>
  </sheetData>
  <mergeCells count="1">
    <mergeCell ref="A1:F1"/>
  </mergeCells>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26C5-B93F-4ABF-B7CE-96CE1B34C3B0}">
  <dimension ref="A1:G10"/>
  <sheetViews>
    <sheetView workbookViewId="0">
      <selection activeCell="A2" sqref="A2"/>
    </sheetView>
  </sheetViews>
  <sheetFormatPr defaultRowHeight="14.4" x14ac:dyDescent="0.3"/>
  <cols>
    <col min="1" max="1" width="32.33203125" bestFit="1" customWidth="1"/>
    <col min="2" max="6" width="11.109375" bestFit="1" customWidth="1"/>
  </cols>
  <sheetData>
    <row r="1" spans="1:7" ht="18.600000000000001" thickBot="1" x14ac:dyDescent="0.4">
      <c r="A1" s="63" t="s">
        <v>73</v>
      </c>
      <c r="B1" s="64"/>
      <c r="C1" s="64"/>
      <c r="D1" s="64"/>
      <c r="E1" s="64"/>
      <c r="F1" s="65"/>
    </row>
    <row r="2" spans="1:7" ht="16.2" thickBot="1" x14ac:dyDescent="0.35">
      <c r="A2" s="6" t="s">
        <v>53</v>
      </c>
      <c r="B2" s="31" t="s">
        <v>16</v>
      </c>
      <c r="C2" s="31" t="s">
        <v>17</v>
      </c>
      <c r="D2" s="31" t="s">
        <v>18</v>
      </c>
      <c r="E2" s="31" t="s">
        <v>19</v>
      </c>
      <c r="F2" s="24" t="s">
        <v>20</v>
      </c>
      <c r="G2" s="1"/>
    </row>
    <row r="3" spans="1:7" x14ac:dyDescent="0.3">
      <c r="A3" s="2" t="s">
        <v>27</v>
      </c>
      <c r="B3" s="13">
        <f>'Income Statement'!C10</f>
        <v>170000</v>
      </c>
      <c r="C3" s="13">
        <f>'Income Statement'!D10</f>
        <v>180500</v>
      </c>
      <c r="D3" s="13">
        <f>'Income Statement'!E10</f>
        <v>191525</v>
      </c>
      <c r="E3" s="13">
        <f>'Income Statement'!F10</f>
        <v>203101.25</v>
      </c>
      <c r="F3" s="10">
        <f>'Income Statement'!G10</f>
        <v>215256.3125</v>
      </c>
    </row>
    <row r="4" spans="1:7" x14ac:dyDescent="0.3">
      <c r="A4" s="2" t="s">
        <v>54</v>
      </c>
      <c r="B4" s="13">
        <f>B3*Assumptions!$B$11</f>
        <v>42500</v>
      </c>
      <c r="C4" s="13">
        <f>C3*Assumptions!$B$11</f>
        <v>45125</v>
      </c>
      <c r="D4" s="13">
        <f>D3*Assumptions!$B$11</f>
        <v>47881.25</v>
      </c>
      <c r="E4" s="13">
        <f>E3*Assumptions!$B$11</f>
        <v>50775.3125</v>
      </c>
      <c r="F4" s="10">
        <f>F3*Assumptions!$B$11</f>
        <v>53814.078125</v>
      </c>
    </row>
    <row r="5" spans="1:7" x14ac:dyDescent="0.3">
      <c r="A5" s="14" t="s">
        <v>55</v>
      </c>
      <c r="B5" s="15">
        <f>B3-B4</f>
        <v>127500</v>
      </c>
      <c r="C5" s="15">
        <f t="shared" ref="C5:F5" si="0">C3-C4</f>
        <v>135375</v>
      </c>
      <c r="D5" s="15">
        <f t="shared" si="0"/>
        <v>143643.75</v>
      </c>
      <c r="E5" s="15">
        <f t="shared" si="0"/>
        <v>152325.9375</v>
      </c>
      <c r="F5" s="16">
        <f t="shared" si="0"/>
        <v>161442.234375</v>
      </c>
    </row>
    <row r="6" spans="1:7" x14ac:dyDescent="0.3">
      <c r="A6" s="14"/>
      <c r="B6" s="15"/>
      <c r="C6" s="15"/>
      <c r="D6" s="15"/>
      <c r="E6" s="15"/>
      <c r="F6" s="16"/>
    </row>
    <row r="7" spans="1:7" x14ac:dyDescent="0.3">
      <c r="A7" s="2" t="s">
        <v>26</v>
      </c>
      <c r="B7" s="13">
        <f>'Income Statement'!C9</f>
        <v>40000</v>
      </c>
      <c r="C7" s="13">
        <f>'Income Statement'!D9</f>
        <v>40000</v>
      </c>
      <c r="D7" s="13">
        <f>'Income Statement'!E9</f>
        <v>40000</v>
      </c>
      <c r="E7" s="13">
        <f>'Income Statement'!F9</f>
        <v>40000</v>
      </c>
      <c r="F7" s="10">
        <f>'Income Statement'!G9</f>
        <v>40000</v>
      </c>
    </row>
    <row r="8" spans="1:7" x14ac:dyDescent="0.3">
      <c r="A8" s="2" t="s">
        <v>52</v>
      </c>
      <c r="B8" s="13">
        <f>'Cash Flow Statement'!B10</f>
        <v>42000</v>
      </c>
      <c r="C8" s="13">
        <f>'Cash Flow Statement'!C10</f>
        <v>44100</v>
      </c>
      <c r="D8" s="13">
        <f>'Cash Flow Statement'!D10</f>
        <v>46305</v>
      </c>
      <c r="E8" s="13">
        <f>'Cash Flow Statement'!E10</f>
        <v>48620.25</v>
      </c>
      <c r="F8" s="10">
        <f>'Cash Flow Statement'!F10</f>
        <v>51051.262500000004</v>
      </c>
    </row>
    <row r="9" spans="1:7" x14ac:dyDescent="0.3">
      <c r="A9" s="2" t="s">
        <v>56</v>
      </c>
      <c r="B9" s="13">
        <f>'Cash Flow Statement'!B5+'Cash Flow Statement'!B6-'Cash Flow Statement'!B7</f>
        <v>5400</v>
      </c>
      <c r="C9" s="13">
        <f>'Cash Flow Statement'!C5+'Cash Flow Statement'!C6-'Cash Flow Statement'!C7</f>
        <v>5670</v>
      </c>
      <c r="D9" s="13">
        <f>'Cash Flow Statement'!D5+'Cash Flow Statement'!D6-'Cash Flow Statement'!D7</f>
        <v>5953.5</v>
      </c>
      <c r="E9" s="13">
        <f>'Cash Flow Statement'!E5+'Cash Flow Statement'!E6-'Cash Flow Statement'!E7</f>
        <v>6251.1750000000029</v>
      </c>
      <c r="F9" s="10">
        <f>'Cash Flow Statement'!F5+'Cash Flow Statement'!F6-'Cash Flow Statement'!F7</f>
        <v>6563.733750000014</v>
      </c>
    </row>
    <row r="10" spans="1:7" ht="15" thickBot="1" x14ac:dyDescent="0.35">
      <c r="A10" s="17" t="s">
        <v>53</v>
      </c>
      <c r="B10" s="18">
        <f>B5+B7-B8-B9</f>
        <v>120100</v>
      </c>
      <c r="C10" s="18">
        <f t="shared" ref="C10:F10" si="1">C5+C7-C8-C9</f>
        <v>125605</v>
      </c>
      <c r="D10" s="18">
        <f t="shared" si="1"/>
        <v>131385.25</v>
      </c>
      <c r="E10" s="18">
        <f t="shared" si="1"/>
        <v>137454.51250000001</v>
      </c>
      <c r="F10" s="19">
        <f t="shared" si="1"/>
        <v>143827.23812499997</v>
      </c>
    </row>
  </sheetData>
  <mergeCells count="1">
    <mergeCell ref="A1:F1"/>
  </mergeCells>
  <phoneticPr fontId="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DBAE-1083-4471-A486-C67C0F32FB5A}">
  <dimension ref="A1:F11"/>
  <sheetViews>
    <sheetView workbookViewId="0">
      <selection activeCell="B11" sqref="B11"/>
    </sheetView>
  </sheetViews>
  <sheetFormatPr defaultRowHeight="14.4" x14ac:dyDescent="0.3"/>
  <cols>
    <col min="1" max="1" width="29" customWidth="1"/>
    <col min="2" max="2" width="12.6640625" bestFit="1" customWidth="1"/>
    <col min="3" max="5" width="11.109375" bestFit="1" customWidth="1"/>
    <col min="6" max="6" width="17.44140625" bestFit="1" customWidth="1"/>
  </cols>
  <sheetData>
    <row r="1" spans="1:6" ht="18.600000000000001" thickBot="1" x14ac:dyDescent="0.4">
      <c r="A1" s="63" t="s">
        <v>74</v>
      </c>
      <c r="B1" s="64"/>
      <c r="C1" s="64"/>
      <c r="D1" s="64"/>
      <c r="E1" s="64"/>
      <c r="F1" s="65"/>
    </row>
    <row r="2" spans="1:6" ht="16.2" thickBot="1" x14ac:dyDescent="0.35">
      <c r="A2" s="6" t="s">
        <v>57</v>
      </c>
      <c r="B2" s="28" t="s">
        <v>16</v>
      </c>
      <c r="C2" s="28" t="s">
        <v>17</v>
      </c>
      <c r="D2" s="28" t="s">
        <v>18</v>
      </c>
      <c r="E2" s="28" t="s">
        <v>19</v>
      </c>
      <c r="F2" s="25" t="s">
        <v>20</v>
      </c>
    </row>
    <row r="3" spans="1:6" x14ac:dyDescent="0.3">
      <c r="A3" s="2" t="s">
        <v>53</v>
      </c>
      <c r="B3" s="13">
        <f>'Free Cash Flow'!B10</f>
        <v>120100</v>
      </c>
      <c r="C3" s="13">
        <f>'Free Cash Flow'!C10</f>
        <v>125605</v>
      </c>
      <c r="D3" s="13">
        <f>'Free Cash Flow'!D10</f>
        <v>131385.25</v>
      </c>
      <c r="E3" s="13">
        <f>'Free Cash Flow'!E10</f>
        <v>137454.51250000001</v>
      </c>
      <c r="F3" s="10">
        <f>'Free Cash Flow'!F10</f>
        <v>143827.23812499997</v>
      </c>
    </row>
    <row r="4" spans="1:6" x14ac:dyDescent="0.3">
      <c r="A4" s="2" t="s">
        <v>62</v>
      </c>
      <c r="B4" s="32">
        <v>1</v>
      </c>
      <c r="C4" s="32">
        <v>2</v>
      </c>
      <c r="D4" s="32">
        <v>3</v>
      </c>
      <c r="E4" s="32">
        <v>4</v>
      </c>
      <c r="F4" s="33">
        <v>5</v>
      </c>
    </row>
    <row r="5" spans="1:6" x14ac:dyDescent="0.3">
      <c r="A5" s="2" t="s">
        <v>58</v>
      </c>
      <c r="B5" s="34">
        <f>1/(1+Assumptions!$B$27)^B4</f>
        <v>0.90909090909090906</v>
      </c>
      <c r="C5" s="34">
        <f>1/(1+Assumptions!$B$27)^C4</f>
        <v>0.82644628099173545</v>
      </c>
      <c r="D5" s="34">
        <f>1/(1+Assumptions!$B$27)^D4</f>
        <v>0.75131480090157754</v>
      </c>
      <c r="E5" s="34">
        <f>1/(1+Assumptions!$B$27)^E4</f>
        <v>0.68301345536507052</v>
      </c>
      <c r="F5" s="35">
        <f>1/(1+Assumptions!$B$27)^F4</f>
        <v>0.62092132305915493</v>
      </c>
    </row>
    <row r="6" spans="1:6" x14ac:dyDescent="0.3">
      <c r="A6" s="14" t="s">
        <v>63</v>
      </c>
      <c r="B6" s="15">
        <f>B3*B5</f>
        <v>109181.81818181818</v>
      </c>
      <c r="C6" s="15">
        <f t="shared" ref="C6:F6" si="0">C3*C5</f>
        <v>103805.78512396693</v>
      </c>
      <c r="D6" s="15">
        <f t="shared" si="0"/>
        <v>98711.682945153996</v>
      </c>
      <c r="E6" s="15">
        <f t="shared" si="0"/>
        <v>93883.281538146286</v>
      </c>
      <c r="F6" s="16">
        <f t="shared" si="0"/>
        <v>89305.398988519111</v>
      </c>
    </row>
    <row r="7" spans="1:6" x14ac:dyDescent="0.3">
      <c r="A7" s="14"/>
      <c r="B7" s="15"/>
      <c r="C7" s="15"/>
      <c r="D7" s="15"/>
      <c r="E7" s="15"/>
      <c r="F7" s="16"/>
    </row>
    <row r="8" spans="1:6" x14ac:dyDescent="0.3">
      <c r="A8" s="14" t="s">
        <v>59</v>
      </c>
      <c r="B8" s="1"/>
      <c r="C8" s="1"/>
      <c r="D8" s="1"/>
      <c r="E8" s="1"/>
      <c r="F8" s="16">
        <f>F3*((1+Assumptions!$B$28)/(Assumptions!$B$27-Assumptions!$B$28))</f>
        <v>2116315.0752678565</v>
      </c>
    </row>
    <row r="9" spans="1:6" x14ac:dyDescent="0.3">
      <c r="A9" s="14" t="s">
        <v>60</v>
      </c>
      <c r="B9" s="1"/>
      <c r="C9" s="1"/>
      <c r="D9" s="1"/>
      <c r="E9" s="1"/>
      <c r="F9" s="16">
        <f>F8/(1+Assumptions!$B$27)^F4</f>
        <v>1314065.1565453527</v>
      </c>
    </row>
    <row r="10" spans="1:6" x14ac:dyDescent="0.3">
      <c r="A10" s="36"/>
      <c r="B10" s="37"/>
      <c r="C10" s="37"/>
      <c r="D10" s="37"/>
      <c r="E10" s="37"/>
      <c r="F10" s="38"/>
    </row>
    <row r="11" spans="1:6" ht="15" thickBot="1" x14ac:dyDescent="0.35">
      <c r="A11" s="39" t="s">
        <v>61</v>
      </c>
      <c r="B11" s="40">
        <f>SUM(B6:F6)+F9</f>
        <v>1808953.1233229572</v>
      </c>
      <c r="C11" s="41"/>
      <c r="D11" s="41"/>
      <c r="E11" s="41"/>
      <c r="F11" s="42"/>
    </row>
  </sheetData>
  <mergeCells count="1">
    <mergeCell ref="A1:F1"/>
  </mergeCells>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7E30F-1839-4C22-A52B-7A3F2FCEE269}">
  <dimension ref="A1:F14"/>
  <sheetViews>
    <sheetView workbookViewId="0">
      <selection activeCell="F10" sqref="F10"/>
    </sheetView>
  </sheetViews>
  <sheetFormatPr defaultRowHeight="14.4" x14ac:dyDescent="0.3"/>
  <cols>
    <col min="1" max="1" width="35.33203125" bestFit="1" customWidth="1"/>
    <col min="2" max="6" width="12.6640625" bestFit="1" customWidth="1"/>
  </cols>
  <sheetData>
    <row r="1" spans="1:6" ht="18.600000000000001" thickBot="1" x14ac:dyDescent="0.4">
      <c r="A1" s="66" t="s">
        <v>80</v>
      </c>
      <c r="B1" s="67"/>
      <c r="C1" s="67"/>
      <c r="D1" s="67"/>
      <c r="E1" s="67"/>
      <c r="F1" s="68"/>
    </row>
    <row r="2" spans="1:6" ht="18.600000000000001" thickBot="1" x14ac:dyDescent="0.4">
      <c r="A2" s="55"/>
      <c r="B2" s="56"/>
      <c r="C2" s="56"/>
      <c r="D2" s="56"/>
      <c r="E2" s="56"/>
      <c r="F2" s="57"/>
    </row>
    <row r="3" spans="1:6" ht="16.2" thickBot="1" x14ac:dyDescent="0.35">
      <c r="A3" s="58" t="s">
        <v>75</v>
      </c>
      <c r="B3" s="69" t="s">
        <v>13</v>
      </c>
      <c r="C3" s="70"/>
      <c r="D3" s="70"/>
      <c r="E3" s="70"/>
      <c r="F3" s="71"/>
    </row>
    <row r="4" spans="1:6" ht="16.2" thickBot="1" x14ac:dyDescent="0.35">
      <c r="A4" s="74">
        <f>'DCF Valuation'!$B$11</f>
        <v>1808953.1233229572</v>
      </c>
      <c r="B4" s="62">
        <v>0.01</v>
      </c>
      <c r="C4" s="54">
        <v>0.02</v>
      </c>
      <c r="D4" s="54">
        <v>0.03</v>
      </c>
      <c r="E4" s="54">
        <v>0.04</v>
      </c>
      <c r="F4" s="59">
        <v>0.05</v>
      </c>
    </row>
    <row r="5" spans="1:6" ht="15.6" x14ac:dyDescent="0.3">
      <c r="A5" s="60">
        <v>0.08</v>
      </c>
      <c r="B5" s="75">
        <f>Assumptions!J9</f>
        <v>1934468.1018632755</v>
      </c>
      <c r="C5" s="76">
        <f>Assumptions!K9</f>
        <v>2186175.9915469405</v>
      </c>
      <c r="D5" s="76">
        <f>Assumptions!L9</f>
        <v>2538567.0371040711</v>
      </c>
      <c r="E5" s="76">
        <f>Assumptions!M9</f>
        <v>3067153.6054397668</v>
      </c>
      <c r="F5" s="77">
        <f>Assumptions!N9</f>
        <v>3948131.2193325926</v>
      </c>
    </row>
    <row r="6" spans="1:6" ht="15.6" x14ac:dyDescent="0.3">
      <c r="A6" s="60">
        <v>0.09</v>
      </c>
      <c r="B6" s="78">
        <f>Assumptions!J10</f>
        <v>1688367.9824664895</v>
      </c>
      <c r="C6" s="79">
        <f>Assumptions!K10</f>
        <v>1870315.9137622528</v>
      </c>
      <c r="D6" s="79">
        <f>Assumptions!L10</f>
        <v>2112913.1554899374</v>
      </c>
      <c r="E6" s="79">
        <f>Assumptions!M10</f>
        <v>2452549.2939086948</v>
      </c>
      <c r="F6" s="80">
        <f>Assumptions!N10</f>
        <v>2962003.5015368317</v>
      </c>
    </row>
    <row r="7" spans="1:6" ht="15.6" x14ac:dyDescent="0.3">
      <c r="A7" s="60">
        <v>0.1</v>
      </c>
      <c r="B7" s="78">
        <f>Assumptions!J11</f>
        <v>1497092.9998709857</v>
      </c>
      <c r="C7" s="79">
        <f>Assumptions!K11</f>
        <v>1633531.8038812233</v>
      </c>
      <c r="D7" s="81">
        <f>Assumptions!L11</f>
        <v>1808953.1233229572</v>
      </c>
      <c r="E7" s="79">
        <f>Assumptions!M11</f>
        <v>2042848.2159119358</v>
      </c>
      <c r="F7" s="80">
        <f>Assumptions!N11</f>
        <v>2370301.3455365058</v>
      </c>
    </row>
    <row r="8" spans="1:6" ht="15.6" x14ac:dyDescent="0.3">
      <c r="A8" s="60">
        <v>0.11</v>
      </c>
      <c r="B8" s="78">
        <f>Assumptions!J12</f>
        <v>1344189.9080623006</v>
      </c>
      <c r="C8" s="79">
        <f>Assumptions!K12</f>
        <v>1449460.415483041</v>
      </c>
      <c r="D8" s="79">
        <f>Assumptions!L12</f>
        <v>1581048.5497589661</v>
      </c>
      <c r="E8" s="79">
        <f>Assumptions!M12</f>
        <v>1750233.2938280127</v>
      </c>
      <c r="F8" s="80">
        <f>Assumptions!N12</f>
        <v>1975812.9525867414</v>
      </c>
    </row>
    <row r="9" spans="1:6" ht="16.2" thickBot="1" x14ac:dyDescent="0.35">
      <c r="A9" s="61">
        <v>0.12</v>
      </c>
      <c r="B9" s="82">
        <f>Assumptions!J13</f>
        <v>1219188.7514437118</v>
      </c>
      <c r="C9" s="83">
        <f>Assumptions!K13</f>
        <v>1302284.0332577792</v>
      </c>
      <c r="D9" s="83">
        <f>Assumptions!L13</f>
        <v>1403844.9332527504</v>
      </c>
      <c r="E9" s="83">
        <f>Assumptions!M13</f>
        <v>1530796.0582464645</v>
      </c>
      <c r="F9" s="84">
        <f>Assumptions!N13</f>
        <v>1694018.9332383825</v>
      </c>
    </row>
    <row r="10" spans="1:6" x14ac:dyDescent="0.3">
      <c r="B10" s="13"/>
      <c r="C10" s="13"/>
      <c r="D10" s="13"/>
      <c r="E10" s="13"/>
      <c r="F10" s="13"/>
    </row>
    <row r="14" spans="1:6" x14ac:dyDescent="0.3">
      <c r="B14" s="13"/>
    </row>
  </sheetData>
  <mergeCells count="2">
    <mergeCell ref="A1:F1"/>
    <mergeCell ref="B3:F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C6699AFC07B9C4798D17A039A558F2D" ma:contentTypeVersion="11" ma:contentTypeDescription="Create a new document." ma:contentTypeScope="" ma:versionID="e8619626dbd09277a01db559e68ac74c">
  <xsd:schema xmlns:xsd="http://www.w3.org/2001/XMLSchema" xmlns:xs="http://www.w3.org/2001/XMLSchema" xmlns:p="http://schemas.microsoft.com/office/2006/metadata/properties" xmlns:ns3="6cae1674-6717-4c89-83ee-2d2a85e74b68" targetNamespace="http://schemas.microsoft.com/office/2006/metadata/properties" ma:root="true" ma:fieldsID="04ff56e456da39af6625031380d65a66" ns3:_="">
    <xsd:import namespace="6cae1674-6717-4c89-83ee-2d2a85e74b6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ae1674-6717-4c89-83ee-2d2a85e74b6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6cae1674-6717-4c89-83ee-2d2a85e74b68" xsi:nil="true"/>
  </documentManagement>
</p:properties>
</file>

<file path=customXml/itemProps1.xml><?xml version="1.0" encoding="utf-8"?>
<ds:datastoreItem xmlns:ds="http://schemas.openxmlformats.org/officeDocument/2006/customXml" ds:itemID="{2D945FB1-8431-4CD2-81E0-A41D0D413381}">
  <ds:schemaRefs>
    <ds:schemaRef ds:uri="http://schemas.microsoft.com/sharepoint/v3/contenttype/forms"/>
  </ds:schemaRefs>
</ds:datastoreItem>
</file>

<file path=customXml/itemProps2.xml><?xml version="1.0" encoding="utf-8"?>
<ds:datastoreItem xmlns:ds="http://schemas.openxmlformats.org/officeDocument/2006/customXml" ds:itemID="{19946223-EC4F-4D2B-9078-1594166931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ae1674-6717-4c89-83ee-2d2a85e74b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411A06-CF9B-4732-93C4-AC468FC88A53}">
  <ds:schemaRefs>
    <ds:schemaRef ds:uri="http://purl.org/dc/elements/1.1/"/>
    <ds:schemaRef ds:uri="http://purl.org/dc/dcmitype/"/>
    <ds:schemaRef ds:uri="6cae1674-6717-4c89-83ee-2d2a85e74b68"/>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Model Overview</vt:lpstr>
      <vt:lpstr>Assumptions</vt:lpstr>
      <vt:lpstr>Income Statement</vt:lpstr>
      <vt:lpstr>Balance Sheet</vt:lpstr>
      <vt:lpstr>Cash Flow Statement</vt:lpstr>
      <vt:lpstr>Free Cash Flow</vt:lpstr>
      <vt:lpstr>DCF Valuation</vt:lpstr>
      <vt:lpstr>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Contreras, Katherine N.</dc:creator>
  <cp:lastModifiedBy>Contreras, Katherine N.</cp:lastModifiedBy>
  <dcterms:created xsi:type="dcterms:W3CDTF">2026-06-30T06:27:26Z</dcterms:created>
  <dcterms:modified xsi:type="dcterms:W3CDTF">2026-10-21T05:23:25Z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0x0101001C6699AFC07B9C4798D17A039A558F2D</vt:lpwstr>
  </property>
</Properties>
</file>